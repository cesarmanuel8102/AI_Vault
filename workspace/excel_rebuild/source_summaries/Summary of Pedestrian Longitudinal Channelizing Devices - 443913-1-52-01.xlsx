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06 CADD/44391315201/Calculations/"/>
    </mc:Choice>
  </mc:AlternateContent>
  <xr:revisionPtr revIDLastSave="9" documentId="13_ncr:1_{0FCE51EF-6524-4CED-A072-4B80BCB6D06E}" xr6:coauthVersionLast="47" xr6:coauthVersionMax="47" xr10:uidLastSave="{52CBEF56-7260-478F-B16D-4E876145BBC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1" l="1"/>
  <c r="W5" i="1"/>
  <c r="W6" i="1"/>
  <c r="W7" i="1"/>
  <c r="W8" i="1"/>
  <c r="W9" i="1"/>
  <c r="W10" i="1"/>
  <c r="W11" i="1"/>
  <c r="W12" i="1"/>
  <c r="W13" i="1"/>
  <c r="W4" i="1"/>
</calcChain>
</file>

<file path=xl/sharedStrings.xml><?xml version="1.0" encoding="utf-8"?>
<sst xmlns="http://schemas.openxmlformats.org/spreadsheetml/2006/main" count="260" uniqueCount="87">
  <si>
    <t>Summary of Pedestrian Longitudinal Channelizing Devices - 443913-1-52-01</t>
  </si>
  <si>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</si>
  <si>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</si>
  <si>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</si>
  <si>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</si>
  <si>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</si>
  <si>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</si>
  <si>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</si>
  <si>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</si>
  <si>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</si>
  <si>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</si>
  <si>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</si>
  <si>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</si>
  <si>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</si>
  <si>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</si>
  <si>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</si>
  <si>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</si>
  <si>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</si>
  <si>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</si>
  <si>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</si>
  <si>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</si>
  <si>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</si>
  <si>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</si>
  <si>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</si>
  <si>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</si>
  <si>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</si>
  <si>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</si>
  <si>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</si>
  <si>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</si>
  <si>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</si>
  <si>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</si>
  <si>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</si>
  <si>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</si>
  <si>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</si>
  <si>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</si>
  <si>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</si>
  <si>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</si>
  <si>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</si>
  <si>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</si>
  <si>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</si>
  <si>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</si>
  <si>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</si>
  <si>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>0102 74  8</t>
  </si>
  <si>
    <t/>
  </si>
  <si>
    <t>Channelizing Device - Pedestrian LCD (Longitudinal Channelizing Device)</t>
  </si>
  <si>
    <t>FD</t>
  </si>
  <si>
    <t>CL-SR886</t>
  </si>
  <si>
    <t>32+45.08</t>
  </si>
  <si>
    <t>32+82.77</t>
  </si>
  <si>
    <t>-52.2444943043945</t>
  </si>
  <si>
    <t>LT</t>
  </si>
  <si>
    <t>79406</t>
  </si>
  <si>
    <t>33+87.84</t>
  </si>
  <si>
    <t>33+88.13</t>
  </si>
  <si>
    <t>-18.1389779339945</t>
  </si>
  <si>
    <t>79405</t>
  </si>
  <si>
    <t>34+20.13</t>
  </si>
  <si>
    <t>34+28.51</t>
  </si>
  <si>
    <t>-68.697061264569</t>
  </si>
  <si>
    <t>79436</t>
  </si>
  <si>
    <t>35+00.13</t>
  </si>
  <si>
    <t>35+00.16</t>
  </si>
  <si>
    <t>-54.3366424919394</t>
  </si>
  <si>
    <t>79449</t>
  </si>
  <si>
    <t>35+83.22</t>
  </si>
  <si>
    <t>35+99.78</t>
  </si>
  <si>
    <t>-22.6109250493857</t>
  </si>
  <si>
    <t>79456</t>
  </si>
  <si>
    <t>35+91.28</t>
  </si>
  <si>
    <t>-19.8955480453444</t>
  </si>
  <si>
    <t>79455</t>
  </si>
  <si>
    <t>37+52.52</t>
  </si>
  <si>
    <t>37+55.60</t>
  </si>
  <si>
    <t>-21.2431339841132</t>
  </si>
  <si>
    <t>79463</t>
  </si>
  <si>
    <t>38+56.93</t>
  </si>
  <si>
    <t>38+57.27</t>
  </si>
  <si>
    <t>-49.1787682486773</t>
  </si>
  <si>
    <t>79457</t>
  </si>
  <si>
    <t>72+28.09</t>
  </si>
  <si>
    <t>72+28.12</t>
  </si>
  <si>
    <t>-17.0801565133734</t>
  </si>
  <si>
    <t>79496</t>
  </si>
  <si>
    <t>73+32.93</t>
  </si>
  <si>
    <t>73+34.55</t>
  </si>
  <si>
    <t>-19.8131354414509</t>
  </si>
  <si>
    <t>79495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</si>
</sst>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+00.00"/>
    <numFmt numFmtId="165" formatCode="0.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60"/>
  <sheetViews>
    <sheetView tabSelected="1" showRuler="0" topLeftCell="B1" zoomScale="106" zoomScaleNormal="106" zoomScaleSheetLayoutView="90" zoomScalePageLayoutView="80" workbookViewId="0">
      <selection activeCell="D14" sqref="D14"/>
    </sheetView>
  </sheetViews>
  <sheetFormatPr defaultColWidth="9.140625" defaultRowHeight="11.25" x14ac:dyDescent="0.25"/>
  <cols>
    <col min="1" max="1" width="9.140625" style="3" hidden="1" customWidth="1"/>
    <col min="2" max="2" width="9.7109375" style="2" customWidth="1"/>
    <col min="3" max="3" width="9.7109375" style="2" hidden="1" customWidth="1"/>
    <col min="4" max="4" width="28.7109375" style="2" customWidth="1"/>
    <col min="5" max="7" width="10.7109375" style="2" hidden="1" customWidth="1"/>
    <col min="8" max="8" width="8.28515625" style="2" customWidth="1"/>
    <col min="9" max="10" width="10.7109375" style="2" hidden="1" customWidth="1"/>
    <col min="11" max="11" width="13.28515625" style="2" hidden="1" customWidth="1"/>
    <col min="12" max="12" width="10.7109375" style="2" hidden="1" customWidth="1"/>
    <col min="13" max="13" width="10.7109375" style="2" customWidth="1"/>
    <col min="14" max="14" width="10.7109375" style="2" hidden="1" customWidth="1"/>
    <col min="15" max="15" width="6.7109375" style="2" customWidth="1"/>
    <col min="16" max="16" width="10.7109375" style="2" hidden="1" customWidth="1"/>
    <col min="17" max="17" width="6.7109375" style="2" hidden="1" customWidth="1"/>
    <col min="18" max="20" width="10.7109375" style="2" hidden="1" customWidth="1"/>
    <col min="21" max="21" width="9.7109375" style="2" hidden="1" customWidth="1"/>
    <col min="22" max="22" width="6.7109375" style="2" hidden="1" customWidth="1"/>
    <col min="23" max="26" width="6.7109375" style="2" customWidth="1"/>
    <col min="27" max="29" width="6.7109375" style="2" hidden="1" customWidth="1"/>
    <col min="30" max="30" width="6.7109375" style="2" customWidth="1"/>
    <col min="31" max="32" width="6.7109375" style="2" hidden="1" customWidth="1"/>
    <col min="33" max="33" width="9.28515625" style="2" customWidth="1"/>
    <col min="34" max="35" width="12.7109375" style="2" customWidth="1"/>
    <col min="36" max="36" width="12.7109375" style="2" hidden="1" customWidth="1"/>
    <col min="37" max="37" width="6.7109375" style="2" hidden="1" customWidth="1"/>
    <col min="38" max="38" width="6.7109375" style="2" customWidth="1"/>
    <col min="39" max="39" width="7.7109375" style="2" customWidth="1"/>
    <col min="40" max="40" width="14.7109375" style="2" customWidth="1"/>
    <col min="41" max="41" width="14.7109375" style="9" customWidth="1"/>
    <col min="42" max="42" width="9.140625" style="1" customWidth="1"/>
    <col min="43" max="16384" width="9.140625" style="1"/>
  </cols>
  <sheetData>
    <row r="1" spans="1:41" ht="15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3"/>
    </row>
    <row r="2" spans="1:41" s="7" customFormat="1" ht="11.25" customHeight="1" x14ac:dyDescent="0.25">
      <c r="A2" s="14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 s="15" t="s">
        <v>14</v>
      </c>
      <c r="O2" s="15" t="s">
        <v>15</v>
      </c>
      <c r="P2" s="15" t="s">
        <v>16</v>
      </c>
      <c r="Q2" s="15" t="s">
        <v>17</v>
      </c>
      <c r="R2" s="15" t="s">
        <v>18</v>
      </c>
      <c r="S2" s="15" t="s">
        <v>19</v>
      </c>
      <c r="T2" s="15" t="s">
        <v>20</v>
      </c>
      <c r="U2" s="15" t="s">
        <v>21</v>
      </c>
      <c r="V2" s="15" t="s">
        <v>22</v>
      </c>
      <c r="W2" s="15"/>
      <c r="X2" s="15"/>
      <c r="Y2" s="15" t="s">
        <v>23</v>
      </c>
      <c r="Z2" s="15"/>
      <c r="AA2" s="15" t="s">
        <v>24</v>
      </c>
      <c r="AB2" s="15"/>
      <c r="AC2" s="15"/>
      <c r="AD2" s="15" t="s">
        <v>25</v>
      </c>
      <c r="AE2" s="15"/>
      <c r="AF2" s="15"/>
      <c r="AG2" s="15"/>
      <c r="AH2" s="15"/>
      <c r="AI2" s="15"/>
      <c r="AJ2" s="15"/>
      <c r="AK2" s="15"/>
      <c r="AL2" s="15"/>
      <c r="AM2" s="15"/>
      <c r="AN2" s="15" t="s">
        <v>26</v>
      </c>
      <c r="AO2" s="16" t="s">
        <v>27</v>
      </c>
    </row>
    <row r="3" spans="1:41" s="7" customFormat="1" ht="33.75" x14ac:dyDescent="0.2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8" t="s">
        <v>28</v>
      </c>
      <c r="W3" s="8" t="s">
        <v>29</v>
      </c>
      <c r="X3" s="8" t="s">
        <v>30</v>
      </c>
      <c r="Y3" s="8" t="s">
        <v>29</v>
      </c>
      <c r="Z3" s="8" t="s">
        <v>30</v>
      </c>
      <c r="AA3" s="8" t="s">
        <v>31</v>
      </c>
      <c r="AB3" s="8" t="s">
        <v>29</v>
      </c>
      <c r="AC3" s="8" t="s">
        <v>30</v>
      </c>
      <c r="AD3" s="8" t="s">
        <v>32</v>
      </c>
      <c r="AE3" s="8" t="s">
        <v>33</v>
      </c>
      <c r="AF3" s="8" t="s">
        <v>34</v>
      </c>
      <c r="AG3" s="8" t="s">
        <v>35</v>
      </c>
      <c r="AH3" s="8" t="s">
        <v>36</v>
      </c>
      <c r="AI3" s="8" t="s">
        <v>37</v>
      </c>
      <c r="AJ3" s="8" t="s">
        <v>38</v>
      </c>
      <c r="AK3" s="8" t="s">
        <v>39</v>
      </c>
      <c r="AL3" s="8" t="s">
        <v>40</v>
      </c>
      <c r="AM3" s="8" t="s">
        <v>41</v>
      </c>
      <c r="AN3" s="15"/>
      <c r="AO3" s="16"/>
    </row>
    <row r="4" spans="1:41" x14ac:dyDescent="0.25">
      <c r="B4" s="2" t="s">
        <v>42</v>
      </c>
      <c r="C4" s="2" t="s">
        <v>43</v>
      </c>
      <c r="D4" s="4" t="s">
        <v>44</v>
      </c>
      <c r="E4" s="4"/>
      <c r="F4" s="4"/>
      <c r="G4" s="4"/>
      <c r="H4" s="2" t="s">
        <v>45</v>
      </c>
      <c r="I4" s="2" t="s">
        <v>43</v>
      </c>
      <c r="J4" s="2" t="s">
        <v>43</v>
      </c>
      <c r="M4" s="2">
        <v>90</v>
      </c>
      <c r="N4" s="2" t="s">
        <v>43</v>
      </c>
      <c r="O4" s="2">
        <v>48.8</v>
      </c>
      <c r="P4" s="2" t="s">
        <v>43</v>
      </c>
      <c r="Q4" s="2" t="s">
        <v>43</v>
      </c>
      <c r="R4" s="2" t="s">
        <v>43</v>
      </c>
      <c r="S4" s="2" t="s">
        <v>43</v>
      </c>
      <c r="T4" s="2" t="s">
        <v>43</v>
      </c>
      <c r="U4" s="2" t="s">
        <v>43</v>
      </c>
      <c r="W4" s="2">
        <f>M4*O4</f>
        <v>4392</v>
      </c>
      <c r="Y4" s="2">
        <f>SUM(W4:W13)</f>
        <v>13041</v>
      </c>
      <c r="AA4" s="2" t="s">
        <v>43</v>
      </c>
      <c r="AB4" s="2" t="s">
        <v>43</v>
      </c>
      <c r="AD4" s="2" t="s">
        <v>43</v>
      </c>
      <c r="AG4" s="2" t="s">
        <v>46</v>
      </c>
      <c r="AH4" s="6" t="s">
        <v>47</v>
      </c>
      <c r="AI4" s="6" t="s">
        <v>48</v>
      </c>
      <c r="AJ4" s="2" t="s">
        <v>43</v>
      </c>
      <c r="AK4" s="2" t="s">
        <v>49</v>
      </c>
      <c r="AL4" s="2" t="s">
        <v>50</v>
      </c>
      <c r="AM4" s="2" t="s">
        <v>51</v>
      </c>
      <c r="AN4" s="4" t="s">
        <v>43</v>
      </c>
      <c r="AO4" s="5" t="s">
        <v>43</v>
      </c>
    </row>
    <row r="5" spans="1:41" x14ac:dyDescent="0.25">
      <c r="C5" s="2" t="s">
        <v>43</v>
      </c>
      <c r="D5" s="4"/>
      <c r="E5" s="4"/>
      <c r="F5" s="4"/>
      <c r="G5" s="4"/>
      <c r="I5" s="2" t="s">
        <v>43</v>
      </c>
      <c r="J5" s="2" t="s">
        <v>43</v>
      </c>
      <c r="M5" s="2">
        <v>90</v>
      </c>
      <c r="N5" s="2" t="s">
        <v>43</v>
      </c>
      <c r="O5" s="10">
        <v>10</v>
      </c>
      <c r="P5" s="2" t="s">
        <v>43</v>
      </c>
      <c r="Q5" s="2" t="s">
        <v>43</v>
      </c>
      <c r="R5" s="2" t="s">
        <v>43</v>
      </c>
      <c r="S5" s="2" t="s">
        <v>43</v>
      </c>
      <c r="T5" s="2" t="s">
        <v>43</v>
      </c>
      <c r="U5" s="2" t="s">
        <v>43</v>
      </c>
      <c r="W5" s="2">
        <f t="shared" ref="W5:W13" si="0">M5*O5</f>
        <v>900</v>
      </c>
      <c r="AB5" s="2" t="s">
        <v>43</v>
      </c>
      <c r="AD5" s="2" t="s">
        <v>43</v>
      </c>
      <c r="AG5" s="2" t="s">
        <v>46</v>
      </c>
      <c r="AH5" s="6" t="s">
        <v>52</v>
      </c>
      <c r="AI5" s="6" t="s">
        <v>53</v>
      </c>
      <c r="AJ5" s="2" t="s">
        <v>43</v>
      </c>
      <c r="AK5" s="2" t="s">
        <v>54</v>
      </c>
      <c r="AL5" s="2" t="s">
        <v>50</v>
      </c>
      <c r="AM5" s="2" t="s">
        <v>55</v>
      </c>
      <c r="AN5" s="4" t="s">
        <v>43</v>
      </c>
      <c r="AO5" s="5" t="s">
        <v>43</v>
      </c>
    </row>
    <row r="6" spans="1:41" x14ac:dyDescent="0.25">
      <c r="C6" s="2" t="s">
        <v>43</v>
      </c>
      <c r="D6" s="4"/>
      <c r="E6" s="4"/>
      <c r="F6" s="4"/>
      <c r="G6" s="4"/>
      <c r="I6" s="2" t="s">
        <v>43</v>
      </c>
      <c r="J6" s="2" t="s">
        <v>43</v>
      </c>
      <c r="M6" s="2">
        <v>90</v>
      </c>
      <c r="N6" s="2" t="s">
        <v>43</v>
      </c>
      <c r="O6" s="2">
        <v>9.6</v>
      </c>
      <c r="P6" s="2" t="s">
        <v>43</v>
      </c>
      <c r="Q6" s="2" t="s">
        <v>43</v>
      </c>
      <c r="R6" s="2" t="s">
        <v>43</v>
      </c>
      <c r="S6" s="2" t="s">
        <v>43</v>
      </c>
      <c r="T6" s="2" t="s">
        <v>43</v>
      </c>
      <c r="U6" s="2" t="s">
        <v>43</v>
      </c>
      <c r="W6" s="2">
        <f t="shared" si="0"/>
        <v>864</v>
      </c>
      <c r="AB6" s="2" t="s">
        <v>43</v>
      </c>
      <c r="AD6" s="2" t="s">
        <v>43</v>
      </c>
      <c r="AG6" s="2" t="s">
        <v>46</v>
      </c>
      <c r="AH6" s="6" t="s">
        <v>56</v>
      </c>
      <c r="AI6" s="6" t="s">
        <v>57</v>
      </c>
      <c r="AJ6" s="2" t="s">
        <v>43</v>
      </c>
      <c r="AK6" s="2" t="s">
        <v>58</v>
      </c>
      <c r="AL6" s="2" t="s">
        <v>50</v>
      </c>
      <c r="AM6" s="2" t="s">
        <v>59</v>
      </c>
      <c r="AN6" s="4" t="s">
        <v>43</v>
      </c>
      <c r="AO6" s="5" t="s">
        <v>43</v>
      </c>
    </row>
    <row r="7" spans="1:41" x14ac:dyDescent="0.25">
      <c r="C7" s="2" t="s">
        <v>43</v>
      </c>
      <c r="D7" s="4"/>
      <c r="E7" s="4"/>
      <c r="F7" s="4"/>
      <c r="G7" s="4"/>
      <c r="I7" s="2" t="s">
        <v>43</v>
      </c>
      <c r="J7" s="2" t="s">
        <v>43</v>
      </c>
      <c r="M7" s="2">
        <v>90</v>
      </c>
      <c r="N7" s="2" t="s">
        <v>43</v>
      </c>
      <c r="O7" s="2">
        <v>9.1</v>
      </c>
      <c r="P7" s="2" t="s">
        <v>43</v>
      </c>
      <c r="Q7" s="2" t="s">
        <v>43</v>
      </c>
      <c r="R7" s="2" t="s">
        <v>43</v>
      </c>
      <c r="S7" s="2" t="s">
        <v>43</v>
      </c>
      <c r="T7" s="2" t="s">
        <v>43</v>
      </c>
      <c r="U7" s="2" t="s">
        <v>43</v>
      </c>
      <c r="W7" s="2">
        <f t="shared" si="0"/>
        <v>819</v>
      </c>
      <c r="AB7" s="2" t="s">
        <v>43</v>
      </c>
      <c r="AD7" s="2" t="s">
        <v>43</v>
      </c>
      <c r="AG7" s="2" t="s">
        <v>46</v>
      </c>
      <c r="AH7" s="6" t="s">
        <v>60</v>
      </c>
      <c r="AI7" s="6" t="s">
        <v>61</v>
      </c>
      <c r="AJ7" s="2" t="s">
        <v>43</v>
      </c>
      <c r="AK7" s="2" t="s">
        <v>62</v>
      </c>
      <c r="AL7" s="2" t="s">
        <v>50</v>
      </c>
      <c r="AM7" s="2" t="s">
        <v>63</v>
      </c>
      <c r="AN7" s="4" t="s">
        <v>43</v>
      </c>
      <c r="AO7" s="5" t="s">
        <v>43</v>
      </c>
    </row>
    <row r="8" spans="1:41" x14ac:dyDescent="0.25">
      <c r="C8" s="2" t="s">
        <v>43</v>
      </c>
      <c r="D8" s="4"/>
      <c r="E8" s="4"/>
      <c r="F8" s="4"/>
      <c r="G8" s="4"/>
      <c r="I8" s="2" t="s">
        <v>43</v>
      </c>
      <c r="J8" s="2" t="s">
        <v>43</v>
      </c>
      <c r="M8" s="2">
        <v>90</v>
      </c>
      <c r="N8" s="2" t="s">
        <v>43</v>
      </c>
      <c r="O8" s="2">
        <v>16.8</v>
      </c>
      <c r="P8" s="2" t="s">
        <v>43</v>
      </c>
      <c r="Q8" s="2" t="s">
        <v>43</v>
      </c>
      <c r="R8" s="2" t="s">
        <v>43</v>
      </c>
      <c r="S8" s="2" t="s">
        <v>43</v>
      </c>
      <c r="T8" s="2" t="s">
        <v>43</v>
      </c>
      <c r="U8" s="2" t="s">
        <v>43</v>
      </c>
      <c r="W8" s="2">
        <f t="shared" si="0"/>
        <v>1512</v>
      </c>
      <c r="AB8" s="2" t="s">
        <v>43</v>
      </c>
      <c r="AD8" s="2" t="s">
        <v>43</v>
      </c>
      <c r="AG8" s="2" t="s">
        <v>46</v>
      </c>
      <c r="AH8" s="6" t="s">
        <v>64</v>
      </c>
      <c r="AI8" s="6" t="s">
        <v>65</v>
      </c>
      <c r="AJ8" s="2" t="s">
        <v>43</v>
      </c>
      <c r="AK8" s="2" t="s">
        <v>66</v>
      </c>
      <c r="AL8" s="2" t="s">
        <v>50</v>
      </c>
      <c r="AM8" s="2" t="s">
        <v>67</v>
      </c>
      <c r="AN8" s="4" t="s">
        <v>43</v>
      </c>
      <c r="AO8" s="5" t="s">
        <v>43</v>
      </c>
    </row>
    <row r="9" spans="1:41" x14ac:dyDescent="0.25">
      <c r="C9" s="2" t="s">
        <v>43</v>
      </c>
      <c r="D9" s="4"/>
      <c r="E9" s="4"/>
      <c r="F9" s="4"/>
      <c r="G9" s="4"/>
      <c r="I9" s="2" t="s">
        <v>43</v>
      </c>
      <c r="J9" s="2" t="s">
        <v>43</v>
      </c>
      <c r="M9" s="2">
        <v>90</v>
      </c>
      <c r="N9" s="2" t="s">
        <v>43</v>
      </c>
      <c r="O9" s="2">
        <v>12.8</v>
      </c>
      <c r="P9" s="2" t="s">
        <v>43</v>
      </c>
      <c r="Q9" s="2" t="s">
        <v>43</v>
      </c>
      <c r="R9" s="2" t="s">
        <v>43</v>
      </c>
      <c r="S9" s="2" t="s">
        <v>43</v>
      </c>
      <c r="T9" s="2" t="s">
        <v>43</v>
      </c>
      <c r="U9" s="2" t="s">
        <v>43</v>
      </c>
      <c r="W9" s="2">
        <f t="shared" si="0"/>
        <v>1152</v>
      </c>
      <c r="AB9" s="2" t="s">
        <v>43</v>
      </c>
      <c r="AD9" s="2" t="s">
        <v>43</v>
      </c>
      <c r="AG9" s="2" t="s">
        <v>46</v>
      </c>
      <c r="AH9" s="6" t="s">
        <v>68</v>
      </c>
      <c r="AI9" s="6" t="s">
        <v>65</v>
      </c>
      <c r="AJ9" s="2" t="s">
        <v>43</v>
      </c>
      <c r="AK9" s="2" t="s">
        <v>69</v>
      </c>
      <c r="AL9" s="2" t="s">
        <v>50</v>
      </c>
      <c r="AM9" s="2" t="s">
        <v>70</v>
      </c>
      <c r="AN9" s="4" t="s">
        <v>43</v>
      </c>
      <c r="AO9" s="5" t="s">
        <v>43</v>
      </c>
    </row>
    <row r="10" spans="1:41" x14ac:dyDescent="0.25">
      <c r="C10" s="2" t="s">
        <v>43</v>
      </c>
      <c r="D10" s="4"/>
      <c r="E10" s="4"/>
      <c r="F10" s="4"/>
      <c r="G10" s="4"/>
      <c r="I10" s="2" t="s">
        <v>43</v>
      </c>
      <c r="J10" s="2" t="s">
        <v>43</v>
      </c>
      <c r="M10" s="2">
        <v>90</v>
      </c>
      <c r="N10" s="2" t="s">
        <v>43</v>
      </c>
      <c r="O10" s="2">
        <v>8.3000000000000007</v>
      </c>
      <c r="P10" s="2" t="s">
        <v>43</v>
      </c>
      <c r="Q10" s="2" t="s">
        <v>43</v>
      </c>
      <c r="R10" s="2" t="s">
        <v>43</v>
      </c>
      <c r="S10" s="2" t="s">
        <v>43</v>
      </c>
      <c r="T10" s="2" t="s">
        <v>43</v>
      </c>
      <c r="U10" s="2" t="s">
        <v>43</v>
      </c>
      <c r="W10" s="2">
        <f t="shared" si="0"/>
        <v>747.00000000000011</v>
      </c>
      <c r="AB10" s="2" t="s">
        <v>43</v>
      </c>
      <c r="AD10" s="2" t="s">
        <v>43</v>
      </c>
      <c r="AG10" s="2" t="s">
        <v>46</v>
      </c>
      <c r="AH10" s="6" t="s">
        <v>71</v>
      </c>
      <c r="AI10" s="6" t="s">
        <v>72</v>
      </c>
      <c r="AJ10" s="2" t="s">
        <v>43</v>
      </c>
      <c r="AK10" s="2" t="s">
        <v>73</v>
      </c>
      <c r="AL10" s="2" t="s">
        <v>50</v>
      </c>
      <c r="AM10" s="2" t="s">
        <v>74</v>
      </c>
      <c r="AN10" s="4" t="s">
        <v>43</v>
      </c>
      <c r="AO10" s="5" t="s">
        <v>43</v>
      </c>
    </row>
    <row r="11" spans="1:41" x14ac:dyDescent="0.25">
      <c r="C11" s="2" t="s">
        <v>43</v>
      </c>
      <c r="D11" s="4"/>
      <c r="E11" s="4"/>
      <c r="F11" s="4"/>
      <c r="G11" s="4"/>
      <c r="I11" s="2" t="s">
        <v>43</v>
      </c>
      <c r="J11" s="2" t="s">
        <v>43</v>
      </c>
      <c r="M11" s="2">
        <v>90</v>
      </c>
      <c r="N11" s="2" t="s">
        <v>43</v>
      </c>
      <c r="O11" s="2">
        <v>13.1</v>
      </c>
      <c r="P11" s="2" t="s">
        <v>43</v>
      </c>
      <c r="Q11" s="2" t="s">
        <v>43</v>
      </c>
      <c r="R11" s="2" t="s">
        <v>43</v>
      </c>
      <c r="S11" s="2" t="s">
        <v>43</v>
      </c>
      <c r="T11" s="2" t="s">
        <v>43</v>
      </c>
      <c r="U11" s="2" t="s">
        <v>43</v>
      </c>
      <c r="W11" s="2">
        <f t="shared" si="0"/>
        <v>1179</v>
      </c>
      <c r="AB11" s="2" t="s">
        <v>43</v>
      </c>
      <c r="AD11" s="2" t="s">
        <v>43</v>
      </c>
      <c r="AG11" s="2" t="s">
        <v>46</v>
      </c>
      <c r="AH11" s="6" t="s">
        <v>75</v>
      </c>
      <c r="AI11" s="6" t="s">
        <v>76</v>
      </c>
      <c r="AJ11" s="2" t="s">
        <v>43</v>
      </c>
      <c r="AK11" s="2" t="s">
        <v>77</v>
      </c>
      <c r="AL11" s="2" t="s">
        <v>50</v>
      </c>
      <c r="AM11" s="2" t="s">
        <v>78</v>
      </c>
      <c r="AN11" s="4" t="s">
        <v>43</v>
      </c>
      <c r="AO11" s="5" t="s">
        <v>43</v>
      </c>
    </row>
    <row r="12" spans="1:41" x14ac:dyDescent="0.25">
      <c r="C12" s="2" t="s">
        <v>43</v>
      </c>
      <c r="D12" s="4"/>
      <c r="E12" s="4"/>
      <c r="F12" s="4"/>
      <c r="G12" s="4"/>
      <c r="I12" s="2" t="s">
        <v>43</v>
      </c>
      <c r="J12" s="2" t="s">
        <v>43</v>
      </c>
      <c r="M12" s="2">
        <v>90</v>
      </c>
      <c r="N12" s="2" t="s">
        <v>43</v>
      </c>
      <c r="O12" s="2">
        <v>8.9</v>
      </c>
      <c r="P12" s="2" t="s">
        <v>43</v>
      </c>
      <c r="Q12" s="2" t="s">
        <v>43</v>
      </c>
      <c r="R12" s="2" t="s">
        <v>43</v>
      </c>
      <c r="S12" s="2" t="s">
        <v>43</v>
      </c>
      <c r="T12" s="2" t="s">
        <v>43</v>
      </c>
      <c r="U12" s="2" t="s">
        <v>43</v>
      </c>
      <c r="W12" s="2">
        <f t="shared" si="0"/>
        <v>801</v>
      </c>
      <c r="AB12" s="2" t="s">
        <v>43</v>
      </c>
      <c r="AD12" s="2" t="s">
        <v>43</v>
      </c>
      <c r="AG12" s="2" t="s">
        <v>46</v>
      </c>
      <c r="AH12" s="6" t="s">
        <v>79</v>
      </c>
      <c r="AI12" s="6" t="s">
        <v>80</v>
      </c>
      <c r="AJ12" s="2" t="s">
        <v>43</v>
      </c>
      <c r="AK12" s="2" t="s">
        <v>81</v>
      </c>
      <c r="AL12" s="2" t="s">
        <v>50</v>
      </c>
      <c r="AM12" s="2" t="s">
        <v>82</v>
      </c>
      <c r="AN12" s="4" t="s">
        <v>43</v>
      </c>
      <c r="AO12" s="5" t="s">
        <v>43</v>
      </c>
    </row>
    <row r="13" spans="1:41" x14ac:dyDescent="0.25">
      <c r="C13" s="2" t="s">
        <v>43</v>
      </c>
      <c r="D13" s="4"/>
      <c r="E13" s="4"/>
      <c r="F13" s="4"/>
      <c r="G13" s="4"/>
      <c r="I13" s="2" t="s">
        <v>43</v>
      </c>
      <c r="J13" s="2" t="s">
        <v>43</v>
      </c>
      <c r="M13" s="2">
        <v>90</v>
      </c>
      <c r="N13" s="2" t="s">
        <v>43</v>
      </c>
      <c r="O13" s="2">
        <v>7.5</v>
      </c>
      <c r="P13" s="2" t="s">
        <v>43</v>
      </c>
      <c r="Q13" s="2" t="s">
        <v>43</v>
      </c>
      <c r="R13" s="2" t="s">
        <v>43</v>
      </c>
      <c r="S13" s="2" t="s">
        <v>43</v>
      </c>
      <c r="T13" s="2" t="s">
        <v>43</v>
      </c>
      <c r="U13" s="2" t="s">
        <v>43</v>
      </c>
      <c r="W13" s="2">
        <f t="shared" si="0"/>
        <v>675</v>
      </c>
      <c r="AB13" s="2" t="s">
        <v>43</v>
      </c>
      <c r="AD13" s="2" t="s">
        <v>43</v>
      </c>
      <c r="AG13" s="2" t="s">
        <v>46</v>
      </c>
      <c r="AH13" s="6" t="s">
        <v>83</v>
      </c>
      <c r="AI13" s="6" t="s">
        <v>84</v>
      </c>
      <c r="AJ13" s="2" t="s">
        <v>43</v>
      </c>
      <c r="AK13" s="2" t="s">
        <v>85</v>
      </c>
      <c r="AL13" s="2" t="s">
        <v>50</v>
      </c>
      <c r="AM13" s="2" t="s">
        <v>86</v>
      </c>
      <c r="AN13" s="4" t="s">
        <v>43</v>
      </c>
      <c r="AO13" s="5" t="s">
        <v>43</v>
      </c>
    </row>
    <row r="14" spans="1:41" x14ac:dyDescent="0.25">
      <c r="D14" s="4"/>
      <c r="E14" s="4"/>
      <c r="F14" s="4"/>
      <c r="G14" s="4"/>
      <c r="AH14" s="6"/>
      <c r="AI14" s="6"/>
      <c r="AN14" s="4"/>
      <c r="AO14" s="5"/>
    </row>
    <row r="15" spans="1:41" x14ac:dyDescent="0.25">
      <c r="D15" s="4"/>
      <c r="E15" s="4"/>
      <c r="F15" s="4"/>
      <c r="G15" s="4"/>
      <c r="AH15" s="6"/>
      <c r="AI15" s="6"/>
      <c r="AN15" s="4"/>
      <c r="AO15" s="5"/>
    </row>
    <row r="16" spans="1:41" x14ac:dyDescent="0.25">
      <c r="D16" s="4"/>
      <c r="E16" s="4"/>
      <c r="F16" s="4"/>
      <c r="G16" s="4"/>
      <c r="AH16" s="6"/>
      <c r="AI16" s="6"/>
      <c r="AN16" s="4"/>
      <c r="AO16" s="5"/>
    </row>
    <row r="17" spans="4:41" x14ac:dyDescent="0.25">
      <c r="D17" s="4"/>
      <c r="E17" s="4"/>
      <c r="F17" s="4"/>
      <c r="G17" s="4"/>
      <c r="AH17" s="6"/>
      <c r="AI17" s="6"/>
      <c r="AN17" s="4"/>
      <c r="AO17" s="5"/>
    </row>
    <row r="18" spans="4:41" x14ac:dyDescent="0.25">
      <c r="D18" s="4"/>
      <c r="E18" s="4"/>
      <c r="F18" s="4"/>
      <c r="G18" s="4"/>
      <c r="AH18" s="6"/>
      <c r="AI18" s="6"/>
      <c r="AN18" s="4"/>
      <c r="AO18" s="5"/>
    </row>
    <row r="19" spans="4:41" x14ac:dyDescent="0.25">
      <c r="D19" s="4"/>
      <c r="E19" s="4"/>
      <c r="F19" s="4"/>
      <c r="G19" s="4"/>
      <c r="AH19" s="6"/>
      <c r="AI19" s="6"/>
      <c r="AN19" s="4"/>
      <c r="AO19" s="5"/>
    </row>
    <row r="20" spans="4:41" x14ac:dyDescent="0.25">
      <c r="D20" s="4"/>
      <c r="E20" s="4"/>
      <c r="F20" s="4"/>
      <c r="G20" s="4"/>
      <c r="AH20" s="6"/>
      <c r="AI20" s="6"/>
      <c r="AN20" s="4"/>
      <c r="AO20" s="5"/>
    </row>
    <row r="21" spans="4:41" x14ac:dyDescent="0.25">
      <c r="D21" s="4"/>
      <c r="E21" s="4"/>
      <c r="F21" s="4"/>
      <c r="G21" s="4"/>
      <c r="AH21" s="6"/>
      <c r="AI21" s="6"/>
      <c r="AN21" s="4"/>
      <c r="AO21" s="5"/>
    </row>
    <row r="22" spans="4:41" x14ac:dyDescent="0.25">
      <c r="D22" s="4"/>
      <c r="E22" s="4"/>
      <c r="F22" s="4"/>
      <c r="G22" s="4"/>
      <c r="AH22" s="6"/>
      <c r="AI22" s="6"/>
      <c r="AN22" s="4"/>
      <c r="AO22" s="5"/>
    </row>
    <row r="23" spans="4:41" x14ac:dyDescent="0.25">
      <c r="D23" s="4"/>
      <c r="E23" s="4"/>
      <c r="F23" s="4"/>
      <c r="G23" s="4"/>
      <c r="AH23" s="6"/>
      <c r="AI23" s="6"/>
      <c r="AN23" s="4"/>
      <c r="AO23" s="5"/>
    </row>
    <row r="24" spans="4:41" x14ac:dyDescent="0.25">
      <c r="D24" s="4"/>
      <c r="E24" s="4"/>
      <c r="F24" s="4"/>
      <c r="G24" s="4"/>
      <c r="AH24" s="6"/>
      <c r="AI24" s="6"/>
      <c r="AN24" s="4"/>
      <c r="AO24" s="5"/>
    </row>
    <row r="25" spans="4:41" x14ac:dyDescent="0.25">
      <c r="D25" s="4"/>
      <c r="E25" s="4"/>
      <c r="F25" s="4"/>
      <c r="G25" s="4"/>
      <c r="AH25" s="6"/>
      <c r="AI25" s="6"/>
      <c r="AN25" s="4"/>
      <c r="AO25" s="5"/>
    </row>
    <row r="26" spans="4:41" x14ac:dyDescent="0.25">
      <c r="D26" s="4"/>
      <c r="E26" s="4"/>
      <c r="F26" s="4"/>
      <c r="G26" s="4"/>
      <c r="AH26" s="6"/>
      <c r="AI26" s="6"/>
      <c r="AN26" s="4"/>
      <c r="AO26" s="5"/>
    </row>
    <row r="27" spans="4:41" x14ac:dyDescent="0.25">
      <c r="D27" s="4"/>
      <c r="E27" s="4"/>
      <c r="F27" s="4"/>
      <c r="G27" s="4"/>
      <c r="AH27" s="6"/>
      <c r="AI27" s="6"/>
      <c r="AN27" s="4"/>
      <c r="AO27" s="5"/>
    </row>
    <row r="28" spans="4:41" x14ac:dyDescent="0.25">
      <c r="D28" s="4"/>
      <c r="E28" s="4"/>
      <c r="F28" s="4"/>
      <c r="G28" s="4"/>
      <c r="AH28" s="6"/>
      <c r="AI28" s="6"/>
      <c r="AN28" s="4"/>
      <c r="AO28" s="5"/>
    </row>
    <row r="29" spans="4:41" x14ac:dyDescent="0.25">
      <c r="D29" s="4"/>
      <c r="E29" s="4"/>
      <c r="F29" s="4"/>
      <c r="G29" s="4"/>
      <c r="AH29" s="6"/>
      <c r="AI29" s="6"/>
      <c r="AN29" s="4"/>
      <c r="AO29" s="5"/>
    </row>
    <row r="30" spans="4:41" x14ac:dyDescent="0.25">
      <c r="D30" s="4"/>
      <c r="E30" s="4"/>
      <c r="F30" s="4"/>
      <c r="G30" s="4"/>
      <c r="AH30" s="6"/>
      <c r="AI30" s="6"/>
      <c r="AN30" s="4"/>
      <c r="AO30" s="5"/>
    </row>
    <row r="31" spans="4:41" x14ac:dyDescent="0.25">
      <c r="D31" s="4"/>
      <c r="E31" s="4"/>
      <c r="F31" s="4"/>
      <c r="G31" s="4"/>
      <c r="AH31" s="6"/>
      <c r="AI31" s="6"/>
      <c r="AN31" s="4"/>
      <c r="AO31" s="5"/>
    </row>
    <row r="32" spans="4:41" x14ac:dyDescent="0.25">
      <c r="D32" s="4"/>
      <c r="E32" s="4"/>
      <c r="F32" s="4"/>
      <c r="G32" s="4"/>
      <c r="AH32" s="6"/>
      <c r="AI32" s="6"/>
      <c r="AN32" s="4"/>
      <c r="AO32" s="5"/>
    </row>
    <row r="33" spans="4:41" x14ac:dyDescent="0.25">
      <c r="D33" s="4"/>
      <c r="E33" s="4"/>
      <c r="F33" s="4"/>
      <c r="G33" s="4"/>
      <c r="AH33" s="6"/>
      <c r="AI33" s="6"/>
      <c r="AN33" s="4"/>
      <c r="AO33" s="5"/>
    </row>
    <row r="34" spans="4:41" x14ac:dyDescent="0.25">
      <c r="D34" s="4"/>
      <c r="E34" s="4"/>
      <c r="F34" s="4"/>
      <c r="G34" s="4"/>
      <c r="AH34" s="6"/>
      <c r="AI34" s="6"/>
      <c r="AN34" s="4"/>
      <c r="AO34" s="5"/>
    </row>
    <row r="35" spans="4:41" x14ac:dyDescent="0.25">
      <c r="D35" s="4"/>
      <c r="E35" s="4"/>
      <c r="F35" s="4"/>
      <c r="G35" s="4"/>
      <c r="AH35" s="6"/>
      <c r="AI35" s="6"/>
      <c r="AN35" s="4"/>
      <c r="AO35" s="5"/>
    </row>
    <row r="36" spans="4:41" x14ac:dyDescent="0.25">
      <c r="D36" s="4"/>
      <c r="E36" s="4"/>
      <c r="F36" s="4"/>
      <c r="G36" s="4"/>
      <c r="AH36" s="6"/>
      <c r="AI36" s="6"/>
      <c r="AN36" s="4"/>
      <c r="AO36" s="5"/>
    </row>
    <row r="37" spans="4:41" x14ac:dyDescent="0.25">
      <c r="D37" s="4"/>
      <c r="E37" s="4"/>
      <c r="F37" s="4"/>
      <c r="G37" s="4"/>
      <c r="AH37" s="6"/>
      <c r="AI37" s="6"/>
      <c r="AN37" s="4"/>
      <c r="AO37" s="5"/>
    </row>
    <row r="38" spans="4:41" x14ac:dyDescent="0.25">
      <c r="D38" s="4"/>
      <c r="E38" s="4"/>
      <c r="F38" s="4"/>
      <c r="G38" s="4"/>
      <c r="AH38" s="6"/>
      <c r="AI38" s="6"/>
      <c r="AN38" s="4"/>
      <c r="AO38" s="5"/>
    </row>
    <row r="39" spans="4:41" x14ac:dyDescent="0.25">
      <c r="D39" s="4"/>
      <c r="E39" s="4"/>
      <c r="F39" s="4"/>
      <c r="G39" s="4"/>
      <c r="AH39" s="6"/>
      <c r="AI39" s="6"/>
      <c r="AN39" s="4"/>
      <c r="AO39" s="5"/>
    </row>
    <row r="40" spans="4:41" x14ac:dyDescent="0.25">
      <c r="D40" s="4"/>
      <c r="E40" s="4"/>
      <c r="F40" s="4"/>
      <c r="G40" s="4"/>
      <c r="AH40" s="6"/>
      <c r="AI40" s="6"/>
      <c r="AN40" s="4"/>
      <c r="AO40" s="5"/>
    </row>
    <row r="41" spans="4:41" x14ac:dyDescent="0.25">
      <c r="D41" s="4"/>
      <c r="E41" s="4"/>
      <c r="F41" s="4"/>
      <c r="G41" s="4"/>
      <c r="AH41" s="6"/>
      <c r="AI41" s="6"/>
      <c r="AN41" s="4"/>
      <c r="AO41" s="5"/>
    </row>
    <row r="42" spans="4:41" x14ac:dyDescent="0.25">
      <c r="D42" s="4"/>
      <c r="E42" s="4"/>
      <c r="F42" s="4"/>
      <c r="G42" s="4"/>
      <c r="AH42" s="6"/>
      <c r="AI42" s="6"/>
      <c r="AN42" s="4"/>
      <c r="AO42" s="5"/>
    </row>
    <row r="43" spans="4:41" x14ac:dyDescent="0.25">
      <c r="D43" s="4"/>
      <c r="E43" s="4"/>
      <c r="F43" s="4"/>
      <c r="G43" s="4"/>
      <c r="AH43" s="6"/>
      <c r="AI43" s="6"/>
      <c r="AN43" s="4"/>
      <c r="AO43" s="5"/>
    </row>
    <row r="44" spans="4:41" x14ac:dyDescent="0.25">
      <c r="D44" s="4"/>
      <c r="E44" s="4"/>
      <c r="F44" s="4"/>
      <c r="G44" s="4"/>
      <c r="AH44" s="6"/>
      <c r="AI44" s="6"/>
      <c r="AN44" s="4"/>
      <c r="AO44" s="5"/>
    </row>
    <row r="45" spans="4:41" x14ac:dyDescent="0.25">
      <c r="D45" s="4"/>
      <c r="E45" s="4"/>
      <c r="F45" s="4"/>
      <c r="G45" s="4"/>
      <c r="AH45" s="6"/>
      <c r="AI45" s="6"/>
      <c r="AN45" s="4"/>
      <c r="AO45" s="5"/>
    </row>
    <row r="46" spans="4:41" x14ac:dyDescent="0.25">
      <c r="D46" s="4"/>
      <c r="E46" s="4"/>
      <c r="F46" s="4"/>
      <c r="G46" s="4"/>
      <c r="AH46" s="6"/>
      <c r="AI46" s="6"/>
      <c r="AN46" s="4"/>
      <c r="AO46" s="5"/>
    </row>
    <row r="47" spans="4:41" x14ac:dyDescent="0.25">
      <c r="D47" s="4"/>
      <c r="E47" s="4"/>
      <c r="F47" s="4"/>
      <c r="G47" s="4"/>
      <c r="AH47" s="6"/>
      <c r="AI47" s="6"/>
      <c r="AN47" s="4"/>
      <c r="AO47" s="5"/>
    </row>
    <row r="48" spans="4:41" x14ac:dyDescent="0.25">
      <c r="D48" s="4"/>
      <c r="E48" s="4"/>
      <c r="F48" s="4"/>
      <c r="G48" s="4"/>
      <c r="AH48" s="6"/>
      <c r="AI48" s="6"/>
      <c r="AN48" s="4"/>
      <c r="AO48" s="5"/>
    </row>
    <row r="49" spans="4:41" x14ac:dyDescent="0.25">
      <c r="D49" s="4"/>
      <c r="E49" s="4"/>
      <c r="F49" s="4"/>
      <c r="G49" s="4"/>
      <c r="AH49" s="6"/>
      <c r="AI49" s="6"/>
      <c r="AN49" s="4"/>
      <c r="AO49" s="5"/>
    </row>
    <row r="50" spans="4:41" x14ac:dyDescent="0.25">
      <c r="D50" s="4"/>
      <c r="E50" s="4"/>
      <c r="F50" s="4"/>
      <c r="G50" s="4"/>
      <c r="AH50" s="6"/>
      <c r="AI50" s="6"/>
      <c r="AN50" s="4"/>
      <c r="AO50" s="5"/>
    </row>
    <row r="51" spans="4:41" x14ac:dyDescent="0.25">
      <c r="D51" s="4"/>
      <c r="E51" s="4"/>
      <c r="F51" s="4"/>
      <c r="G51" s="4"/>
      <c r="AH51" s="6"/>
      <c r="AI51" s="6"/>
      <c r="AN51" s="4"/>
      <c r="AO51" s="5"/>
    </row>
    <row r="52" spans="4:41" x14ac:dyDescent="0.25">
      <c r="D52" s="4"/>
      <c r="E52" s="4"/>
      <c r="F52" s="4"/>
      <c r="G52" s="4"/>
      <c r="AH52" s="6"/>
      <c r="AI52" s="6"/>
      <c r="AN52" s="4"/>
      <c r="AO52" s="5"/>
    </row>
    <row r="53" spans="4:41" x14ac:dyDescent="0.25">
      <c r="D53" s="4"/>
      <c r="E53" s="4"/>
      <c r="F53" s="4"/>
      <c r="G53" s="4"/>
      <c r="AH53" s="6"/>
      <c r="AI53" s="6"/>
      <c r="AN53" s="4"/>
      <c r="AO53" s="5"/>
    </row>
    <row r="54" spans="4:41" x14ac:dyDescent="0.25">
      <c r="D54" s="4"/>
      <c r="E54" s="4"/>
      <c r="F54" s="4"/>
      <c r="G54" s="4"/>
      <c r="AH54" s="6"/>
      <c r="AI54" s="6"/>
      <c r="AN54" s="4"/>
      <c r="AO54" s="5"/>
    </row>
    <row r="55" spans="4:41" x14ac:dyDescent="0.25">
      <c r="D55" s="4"/>
      <c r="E55" s="4"/>
      <c r="F55" s="4"/>
      <c r="G55" s="4"/>
      <c r="AH55" s="6"/>
      <c r="AI55" s="6"/>
      <c r="AN55" s="4"/>
      <c r="AO55" s="5"/>
    </row>
    <row r="56" spans="4:41" x14ac:dyDescent="0.25">
      <c r="D56" s="4"/>
      <c r="E56" s="4"/>
      <c r="F56" s="4"/>
      <c r="G56" s="4"/>
      <c r="AH56" s="6"/>
      <c r="AI56" s="6"/>
      <c r="AN56" s="4"/>
      <c r="AO56" s="5"/>
    </row>
    <row r="57" spans="4:41" x14ac:dyDescent="0.25">
      <c r="D57" s="4"/>
      <c r="E57" s="4"/>
      <c r="F57" s="4"/>
      <c r="G57" s="4"/>
      <c r="AH57" s="6"/>
      <c r="AI57" s="6"/>
      <c r="AN57" s="4"/>
      <c r="AO57" s="5"/>
    </row>
    <row r="58" spans="4:41" x14ac:dyDescent="0.25">
      <c r="D58" s="4"/>
      <c r="E58" s="4"/>
      <c r="F58" s="4"/>
      <c r="G58" s="4"/>
      <c r="AH58" s="6"/>
      <c r="AI58" s="6"/>
      <c r="AN58" s="4"/>
      <c r="AO58" s="5"/>
    </row>
    <row r="59" spans="4:41" x14ac:dyDescent="0.25">
      <c r="D59" s="4"/>
      <c r="E59" s="4"/>
      <c r="F59" s="4"/>
      <c r="G59" s="4"/>
      <c r="AH59" s="6"/>
      <c r="AI59" s="6"/>
      <c r="AN59" s="4"/>
      <c r="AO59" s="5"/>
    </row>
    <row r="60" spans="4:41" x14ac:dyDescent="0.25">
      <c r="D60" s="4"/>
      <c r="E60" s="4"/>
      <c r="F60" s="4"/>
      <c r="G60" s="4"/>
      <c r="AH60" s="6"/>
      <c r="AI60" s="6"/>
      <c r="AN60" s="4"/>
      <c r="AO60" s="5"/>
    </row>
  </sheetData>
  <mergeCells count="28"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</mergeCells>
  <pageMargins left="0.5" right="0.5" top="0.75" bottom="0.75" header="0.3" footer="0.3"/>
  <pageSetup paperSize="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DF47C7A8-2C36-4E57-BE5F-BBCEE1A7D5EC}">
  <ds:schemaRefs>
    <ds:schemaRef ds:uri="http://schemas.microsoft.com/office/2006/metadata/properties"/>
    <ds:schemaRef ds:uri="http://schemas.microsoft.com/office/infopath/2007/PartnerControls"/>
    <ds:schemaRef ds:uri="d60f96d0-6c09-4806-b141-00f274de1478"/>
    <ds:schemaRef ds:uri="c3906ed6-3203-4afe-9e96-c1d55762b86b"/>
  </ds:schemaRefs>
</ds:datastoreItem>
</file>

<file path=customXml/itemProps2.xml><?xml version="1.0" encoding="utf-8"?>
<ds:datastoreItem xmlns:ds="http://schemas.openxmlformats.org/officeDocument/2006/customXml" ds:itemID="{80FFD9DF-D209-499D-B873-98C6494B83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D24221-B70D-4DB9-8DEF-412F404A2223}"/>
</file>

<file path=customXml/itemProps4.xml><?xml version="1.0" encoding="utf-8"?>
<ds:datastoreItem xmlns:ds="http://schemas.openxmlformats.org/officeDocument/2006/customXml" ds:itemID="{257B0D28-403B-45D5-8779-735927B27F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Goal Associates 02</cp:lastModifiedBy>
  <dcterms:created xsi:type="dcterms:W3CDTF">2019-12-17T15:58:45Z</dcterms:created>
  <dcterms:modified xsi:type="dcterms:W3CDTF">2025-06-13T18:52:58Z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  <property fmtid="{D5CDD505-2E9C-101B-9397-08002B2CF9AE}" pid="3" name="MediaServiceImageTags">
    <vt:lpwstr/>
  </property>
</Properties>
</file>