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13 Post Design/Revision/Revision 02/04 Submittal/EQR-RV02/"/>
    </mc:Choice>
  </mc:AlternateContent>
  <xr:revisionPtr revIDLastSave="20" documentId="13_ncr:1_{0FCE51EF-6524-4CED-A072-4B80BCB6D06E}" xr6:coauthVersionLast="47" xr6:coauthVersionMax="47" xr10:uidLastSave="{658B84C0-427D-472D-8784-5673686D0354}"/>
  <bookViews>
    <workbookView xWindow="28680" yWindow="-13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8" i="1" l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7" i="1"/>
  <c r="AU8" i="1"/>
  <c r="AT8" i="1"/>
  <c r="AU7" i="1"/>
  <c r="AT7" i="1"/>
</calcChain>
</file>

<file path=xl/sharedStrings.xml><?xml version="1.0" encoding="utf-8"?>
<sst xmlns="http://schemas.openxmlformats.org/spreadsheetml/2006/main" count="2034" uniqueCount="413">
  <si>
    <t>Summary of Pavement - 443913-1-52-01</t>
  </si>
  <si>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</si>
  <si>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</si>
  <si>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</si>
  <si>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</si>
  <si>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</si>
  <si>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</si>
  <si>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</si>
  <si>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</si>
  <si>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</si>
  <si>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</si>
  <si>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</si>
  <si>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</si>
  <si>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</si>
  <si>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</si>
  <si>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</si>
  <si>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</si>
  <si>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</si>
  <si>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</si>
  <si>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</si>
  <si>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</si>
  <si>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</si>
  <si>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</si>
  <si>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</si>
  <si>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</si>
  <si>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</si>
  <si>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</si>
  <si>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</si>
  <si>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</si>
  <si>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</si>
  <si>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</si>
  <si>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</si>
  <si>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</si>
  <si>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</si>
  <si>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</si>
  <si>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</si>
  <si>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</si>
  <si>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</si>
  <si>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</si>
  <si>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</si>
  <si>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</si>
  <si>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</si>
  <si>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/>
  </si>
  <si>
    <t>SY</t>
  </si>
  <si>
    <t>CL-SR886</t>
  </si>
  <si>
    <t>32+15.52</t>
  </si>
  <si>
    <t>32+30.83</t>
  </si>
  <si>
    <t>-63.0018342103028</t>
  </si>
  <si>
    <t>LT</t>
  </si>
  <si>
    <t>64779</t>
  </si>
  <si>
    <t>32+48.70</t>
  </si>
  <si>
    <t>32+66.65</t>
  </si>
  <si>
    <t>-48.854596855964</t>
  </si>
  <si>
    <t>64784</t>
  </si>
  <si>
    <t>32+75.46</t>
  </si>
  <si>
    <t>32+94.24</t>
  </si>
  <si>
    <t>-35.8008771947475</t>
  </si>
  <si>
    <t>64789</t>
  </si>
  <si>
    <t>33+02.75</t>
  </si>
  <si>
    <t>33+20.66</t>
  </si>
  <si>
    <t>-11.9290592141433</t>
  </si>
  <si>
    <t>64790</t>
  </si>
  <si>
    <t>33+35.72</t>
  </si>
  <si>
    <t>33+41.66</t>
  </si>
  <si>
    <t>-47.781828534001</t>
  </si>
  <si>
    <t>64791</t>
  </si>
  <si>
    <t>33+74.59</t>
  </si>
  <si>
    <t>33+93.75</t>
  </si>
  <si>
    <t>-42.5393672122817</t>
  </si>
  <si>
    <t>64796</t>
  </si>
  <si>
    <t>34+07.43</t>
  </si>
  <si>
    <t>34+13.54</t>
  </si>
  <si>
    <t>-30.0694913636666</t>
  </si>
  <si>
    <t>86567</t>
  </si>
  <si>
    <t>34+43.33</t>
  </si>
  <si>
    <t>34+49.37</t>
  </si>
  <si>
    <t>-25.9493955716001</t>
  </si>
  <si>
    <t>64797</t>
  </si>
  <si>
    <t>34+55.23</t>
  </si>
  <si>
    <t>34+82.12</t>
  </si>
  <si>
    <t>-0.0764781770551715</t>
  </si>
  <si>
    <t>64807</t>
  </si>
  <si>
    <t>34+59.77</t>
  </si>
  <si>
    <t>34+85.59</t>
  </si>
  <si>
    <t>62.2879944032813</t>
  </si>
  <si>
    <t>RT</t>
  </si>
  <si>
    <t>64771</t>
  </si>
  <si>
    <t>34+95.63</t>
  </si>
  <si>
    <t>35+61.82</t>
  </si>
  <si>
    <t>39.0142167086308</t>
  </si>
  <si>
    <t>66411</t>
  </si>
  <si>
    <t>35+25.93</t>
  </si>
  <si>
    <t>35+44.11</t>
  </si>
  <si>
    <t>-33.3660141840597</t>
  </si>
  <si>
    <t>64808</t>
  </si>
  <si>
    <t>35+84.54</t>
  </si>
  <si>
    <t>36+05.68</t>
  </si>
  <si>
    <t>19.6054421978611</t>
  </si>
  <si>
    <t>64815</t>
  </si>
  <si>
    <t>35+91.34</t>
  </si>
  <si>
    <t>35+97.51</t>
  </si>
  <si>
    <t>-43.0959026647401</t>
  </si>
  <si>
    <t>66307</t>
  </si>
  <si>
    <t>35+93.47</t>
  </si>
  <si>
    <t>36+11.32</t>
  </si>
  <si>
    <t>-3.29580228685789</t>
  </si>
  <si>
    <t>64809</t>
  </si>
  <si>
    <t>36+03.80</t>
  </si>
  <si>
    <t>36+23.53</t>
  </si>
  <si>
    <t>29.1725851142572</t>
  </si>
  <si>
    <t>64814</t>
  </si>
  <si>
    <t>36+11.19</t>
  </si>
  <si>
    <t>36+28.16</t>
  </si>
  <si>
    <t>-44.9301460165147</t>
  </si>
  <si>
    <t>64810</t>
  </si>
  <si>
    <t>36+23.66</t>
  </si>
  <si>
    <t>36+32.38</t>
  </si>
  <si>
    <t>39.6258462443405</t>
  </si>
  <si>
    <t>64816</t>
  </si>
  <si>
    <t>36+28.69</t>
  </si>
  <si>
    <t>36+46.27</t>
  </si>
  <si>
    <t>3.04198192211106</t>
  </si>
  <si>
    <t>LT/RT</t>
  </si>
  <si>
    <t>80346</t>
  </si>
  <si>
    <t>36+29.21</t>
  </si>
  <si>
    <t>36+46.34</t>
  </si>
  <si>
    <t>11.8218669109782</t>
  </si>
  <si>
    <t>80347</t>
  </si>
  <si>
    <t>36+38.38</t>
  </si>
  <si>
    <t>36+73.96</t>
  </si>
  <si>
    <t>38.6418586232106</t>
  </si>
  <si>
    <t>64817</t>
  </si>
  <si>
    <t>36+45.97</t>
  </si>
  <si>
    <t>36+70.15</t>
  </si>
  <si>
    <t>-42.4009395926809</t>
  </si>
  <si>
    <t>64813</t>
  </si>
  <si>
    <t>36+46.42</t>
  </si>
  <si>
    <t>37+54.19</t>
  </si>
  <si>
    <t>15.0278607392882</t>
  </si>
  <si>
    <t>80348</t>
  </si>
  <si>
    <t>36+96.87</t>
  </si>
  <si>
    <t>37+03.29</t>
  </si>
  <si>
    <t>-26.6333135337098</t>
  </si>
  <si>
    <t>86750</t>
  </si>
  <si>
    <t>37+08.38</t>
  </si>
  <si>
    <t>37+44.63</t>
  </si>
  <si>
    <t>-39.1751851764328</t>
  </si>
  <si>
    <t>79717</t>
  </si>
  <si>
    <t>37+27.56</t>
  </si>
  <si>
    <t>37+53.88</t>
  </si>
  <si>
    <t>-1.43262751792635</t>
  </si>
  <si>
    <t>80349</t>
  </si>
  <si>
    <t>37+53.42</t>
  </si>
  <si>
    <t>37+74.59</t>
  </si>
  <si>
    <t>-39.4843150716964</t>
  </si>
  <si>
    <t>64897</t>
  </si>
  <si>
    <t>37+54.22</t>
  </si>
  <si>
    <t>37+71.92</t>
  </si>
  <si>
    <t>22.7880743986141</t>
  </si>
  <si>
    <t>64893</t>
  </si>
  <si>
    <t>37+86.19</t>
  </si>
  <si>
    <t>37+92.30</t>
  </si>
  <si>
    <t>-39.1181128332126</t>
  </si>
  <si>
    <t>64907</t>
  </si>
  <si>
    <t>37+86.35</t>
  </si>
  <si>
    <t>37+92.50</t>
  </si>
  <si>
    <t>-28.3990268885287</t>
  </si>
  <si>
    <t>64941</t>
  </si>
  <si>
    <t>37+87.61</t>
  </si>
  <si>
    <t>37+93.59</t>
  </si>
  <si>
    <t>22.1059151809861</t>
  </si>
  <si>
    <t>86572</t>
  </si>
  <si>
    <t>38+07.24</t>
  </si>
  <si>
    <t>38+31.69</t>
  </si>
  <si>
    <t>-39.0740808894653</t>
  </si>
  <si>
    <t>64910</t>
  </si>
  <si>
    <t>38+07.73</t>
  </si>
  <si>
    <t>38+26.12</t>
  </si>
  <si>
    <t>-4.77710834448729</t>
  </si>
  <si>
    <t>64896</t>
  </si>
  <si>
    <t>38+07.90</t>
  </si>
  <si>
    <t>38+26.76</t>
  </si>
  <si>
    <t>3.75385237250512</t>
  </si>
  <si>
    <t>64895</t>
  </si>
  <si>
    <t>38+17.62</t>
  </si>
  <si>
    <t>38+27.45</t>
  </si>
  <si>
    <t>33.7486309345116</t>
  </si>
  <si>
    <t>64894</t>
  </si>
  <si>
    <t>38+58.13</t>
  </si>
  <si>
    <t>38+64.22</t>
  </si>
  <si>
    <t>-39.0250880224022</t>
  </si>
  <si>
    <t>64915</t>
  </si>
  <si>
    <t>38+62.87</t>
  </si>
  <si>
    <t>38+81.26</t>
  </si>
  <si>
    <t>33.0897194391976</t>
  </si>
  <si>
    <t>64916</t>
  </si>
  <si>
    <t>38+87.53</t>
  </si>
  <si>
    <t>39+38.08</t>
  </si>
  <si>
    <t>52.2383616524665</t>
  </si>
  <si>
    <t>64917</t>
  </si>
  <si>
    <t>39+32.87</t>
  </si>
  <si>
    <t>39+50.80</t>
  </si>
  <si>
    <t>-39.0229688439731</t>
  </si>
  <si>
    <t>64920</t>
  </si>
  <si>
    <t>39+33.40</t>
  </si>
  <si>
    <t>39+42.30</t>
  </si>
  <si>
    <t>-6.36658514636652</t>
  </si>
  <si>
    <t>64919</t>
  </si>
  <si>
    <t>39+33.50</t>
  </si>
  <si>
    <t>39+42.66</t>
  </si>
  <si>
    <t>3.0761010093645</t>
  </si>
  <si>
    <t>64918</t>
  </si>
  <si>
    <t>39+45.85</t>
  </si>
  <si>
    <t>39+52.05</t>
  </si>
  <si>
    <t>32.1980417428192</t>
  </si>
  <si>
    <t>86580</t>
  </si>
  <si>
    <t>39+48.05</t>
  </si>
  <si>
    <t>39+54.03</t>
  </si>
  <si>
    <t>-18.4875498370461</t>
  </si>
  <si>
    <t>86573</t>
  </si>
  <si>
    <t>39+69.04</t>
  </si>
  <si>
    <t>39+75.08</t>
  </si>
  <si>
    <t>-18.757403503405</t>
  </si>
  <si>
    <t>86579</t>
  </si>
  <si>
    <t>39+87.08</t>
  </si>
  <si>
    <t>40+05.03</t>
  </si>
  <si>
    <t>-6.79048012749269</t>
  </si>
  <si>
    <t>64921</t>
  </si>
  <si>
    <t>39+87.14</t>
  </si>
  <si>
    <t>40+05.05</t>
  </si>
  <si>
    <t>1.97248069697068</t>
  </si>
  <si>
    <t>64924</t>
  </si>
  <si>
    <t>40+01.91</t>
  </si>
  <si>
    <t>40+07.96</t>
  </si>
  <si>
    <t>-18.9236986630877</t>
  </si>
  <si>
    <t>79718</t>
  </si>
  <si>
    <t>40+05.54</t>
  </si>
  <si>
    <t>40+22.88</t>
  </si>
  <si>
    <t>43.6601247542739</t>
  </si>
  <si>
    <t>64927</t>
  </si>
  <si>
    <t>40+22.73</t>
  </si>
  <si>
    <t>40+31.61</t>
  </si>
  <si>
    <t>-7.01787704680404</t>
  </si>
  <si>
    <t>64922</t>
  </si>
  <si>
    <t>40+22.75</t>
  </si>
  <si>
    <t>40+40.61</t>
  </si>
  <si>
    <t>7.55494060989488</t>
  </si>
  <si>
    <t>64923</t>
  </si>
  <si>
    <t>40+37.59</t>
  </si>
  <si>
    <t>40+43.53</t>
  </si>
  <si>
    <t>-40.6913925769356</t>
  </si>
  <si>
    <t>86574</t>
  </si>
  <si>
    <t>40+58.52</t>
  </si>
  <si>
    <t>40+76.26</t>
  </si>
  <si>
    <t>-7.22821989577573</t>
  </si>
  <si>
    <t>64925</t>
  </si>
  <si>
    <t>40+58.55</t>
  </si>
  <si>
    <t>40+76.24</t>
  </si>
  <si>
    <t>7.41755216208937</t>
  </si>
  <si>
    <t>64926</t>
  </si>
  <si>
    <t>40+73.35</t>
  </si>
  <si>
    <t>40+79.33</t>
  </si>
  <si>
    <t>-31.2337903848718</t>
  </si>
  <si>
    <t>86575</t>
  </si>
  <si>
    <t>40+75.79</t>
  </si>
  <si>
    <t>41+11.50</t>
  </si>
  <si>
    <t>47.4505876010117</t>
  </si>
  <si>
    <t>64935</t>
  </si>
  <si>
    <t>40+94.31</t>
  </si>
  <si>
    <t>41+12.27</t>
  </si>
  <si>
    <t>-41.0178426319406</t>
  </si>
  <si>
    <t>86576</t>
  </si>
  <si>
    <t>41+11.74</t>
  </si>
  <si>
    <t>41+29.78</t>
  </si>
  <si>
    <t>10.5280125225178</t>
  </si>
  <si>
    <t>64934</t>
  </si>
  <si>
    <t>41+11.85</t>
  </si>
  <si>
    <t>41+29.88</t>
  </si>
  <si>
    <t>-2.23412550443378</t>
  </si>
  <si>
    <t>64933</t>
  </si>
  <si>
    <t>41+26.96</t>
  </si>
  <si>
    <t>41+33.18</t>
  </si>
  <si>
    <t>-12.4687906708698</t>
  </si>
  <si>
    <t>86577</t>
  </si>
  <si>
    <t>41+65.71</t>
  </si>
  <si>
    <t>41+79.53</t>
  </si>
  <si>
    <t>-6.34005252597495</t>
  </si>
  <si>
    <t>86578</t>
  </si>
  <si>
    <t>41+79.61</t>
  </si>
  <si>
    <t>42+01.56</t>
  </si>
  <si>
    <t>-16.6931334240169</t>
  </si>
  <si>
    <t>64940</t>
  </si>
  <si>
    <t>41+80.59</t>
  </si>
  <si>
    <t>41+86.70</t>
  </si>
  <si>
    <t>7.86065364036379</t>
  </si>
  <si>
    <t>64936</t>
  </si>
  <si>
    <t>42+01.41</t>
  </si>
  <si>
    <t>42+19.29</t>
  </si>
  <si>
    <t>2.37636956209796</t>
  </si>
  <si>
    <t>79499</t>
  </si>
  <si>
    <t>42+19.25</t>
  </si>
  <si>
    <t>42+37.70</t>
  </si>
  <si>
    <t>-2.06053537557445</t>
  </si>
  <si>
    <t>64938</t>
  </si>
  <si>
    <t>42+19.27</t>
  </si>
  <si>
    <t>42+28.38</t>
  </si>
  <si>
    <t>2.86814132238358</t>
  </si>
  <si>
    <t>64937</t>
  </si>
  <si>
    <t>42+19.34</t>
  </si>
  <si>
    <t>42+38.05</t>
  </si>
  <si>
    <t>-37.8342297658647</t>
  </si>
  <si>
    <t>64939</t>
  </si>
  <si>
    <t>68+32.80</t>
  </si>
  <si>
    <t>68+49.65</t>
  </si>
  <si>
    <t>40.9635062774883</t>
  </si>
  <si>
    <t>64944</t>
  </si>
  <si>
    <t>68+32.86</t>
  </si>
  <si>
    <t>68+68.91</t>
  </si>
  <si>
    <t>28.867939367485</t>
  </si>
  <si>
    <t>64945</t>
  </si>
  <si>
    <t>68+33.11</t>
  </si>
  <si>
    <t>68+50.56</t>
  </si>
  <si>
    <t>0.358320545232321</t>
  </si>
  <si>
    <t>86588</t>
  </si>
  <si>
    <t>68+50.67</t>
  </si>
  <si>
    <t>68+59.44</t>
  </si>
  <si>
    <t>-5.34271529146679</t>
  </si>
  <si>
    <t>86587</t>
  </si>
  <si>
    <t>69+02.79</t>
  </si>
  <si>
    <t>69+37.91</t>
  </si>
  <si>
    <t>-10.5644887308227</t>
  </si>
  <si>
    <t>64960</t>
  </si>
  <si>
    <t>69+29.00</t>
  </si>
  <si>
    <t>69+37.80</t>
  </si>
  <si>
    <t>3.51154025784354</t>
  </si>
  <si>
    <t>64959</t>
  </si>
  <si>
    <t>69+38.15</t>
  </si>
  <si>
    <t>69+58.93</t>
  </si>
  <si>
    <t>-39.5649002057565</t>
  </si>
  <si>
    <t>64971</t>
  </si>
  <si>
    <t>69+87.60</t>
  </si>
  <si>
    <t>69+93.69</t>
  </si>
  <si>
    <t>-3.33196834072791</t>
  </si>
  <si>
    <t>86581</t>
  </si>
  <si>
    <t>70+07.69</t>
  </si>
  <si>
    <t>70+26.73</t>
  </si>
  <si>
    <t>17.9325510677183</t>
  </si>
  <si>
    <t>86582</t>
  </si>
  <si>
    <t>70+08.46</t>
  </si>
  <si>
    <t>70+44.40</t>
  </si>
  <si>
    <t>-2.08724631673656</t>
  </si>
  <si>
    <t>64974</t>
  </si>
  <si>
    <t>70+26.82</t>
  </si>
  <si>
    <t>70+35.39</t>
  </si>
  <si>
    <t>5.07885612268049</t>
  </si>
  <si>
    <t>86584</t>
  </si>
  <si>
    <t>70+41.49</t>
  </si>
  <si>
    <t>70+48.66</t>
  </si>
  <si>
    <t>-8.84686910071439</t>
  </si>
  <si>
    <t>64972</t>
  </si>
  <si>
    <t>70+72.64</t>
  </si>
  <si>
    <t>71+00.19</t>
  </si>
  <si>
    <t>-31.2196189661649</t>
  </si>
  <si>
    <t>64982</t>
  </si>
  <si>
    <t>70+77.56</t>
  </si>
  <si>
    <t>70+83.68</t>
  </si>
  <si>
    <t>-1.86902759402651</t>
  </si>
  <si>
    <t>86583</t>
  </si>
  <si>
    <t>71+13.91</t>
  </si>
  <si>
    <t>71+38.64</t>
  </si>
  <si>
    <t>-16.8632728569607</t>
  </si>
  <si>
    <t>64984</t>
  </si>
  <si>
    <t>71+28.45</t>
  </si>
  <si>
    <t>71+35.49</t>
  </si>
  <si>
    <t>60.2050887731558</t>
  </si>
  <si>
    <t>86585</t>
  </si>
  <si>
    <t>71+34.65</t>
  </si>
  <si>
    <t>71+52.68</t>
  </si>
  <si>
    <t>2.64043537020353</t>
  </si>
  <si>
    <t>64986</t>
  </si>
  <si>
    <t>71+49.99</t>
  </si>
  <si>
    <t>71+87.11</t>
  </si>
  <si>
    <t>60.5589281832663</t>
  </si>
  <si>
    <t>64990</t>
  </si>
  <si>
    <t>71+53.76</t>
  </si>
  <si>
    <t>71+71.47</t>
  </si>
  <si>
    <t>-28.4622348285725</t>
  </si>
  <si>
    <t>64983</t>
  </si>
  <si>
    <t>71+61.81</t>
  </si>
  <si>
    <t>71+70.90</t>
  </si>
  <si>
    <t>-1.86187950933566</t>
  </si>
  <si>
    <t>64987</t>
  </si>
  <si>
    <t>71+87.92</t>
  </si>
  <si>
    <t>72+06.37</t>
  </si>
  <si>
    <t>26.0878832841766</t>
  </si>
  <si>
    <t>64988</t>
  </si>
  <si>
    <t>71+88.50</t>
  </si>
  <si>
    <t>72+06.64</t>
  </si>
  <si>
    <t>2.52496117637279</t>
  </si>
  <si>
    <t>64989</t>
  </si>
  <si>
    <t>72+22.58</t>
  </si>
  <si>
    <t>72+45.05</t>
  </si>
  <si>
    <t>65.773842643996</t>
  </si>
  <si>
    <t>64991</t>
  </si>
  <si>
    <t>72+55.77</t>
  </si>
  <si>
    <t>72+76.42</t>
  </si>
  <si>
    <t>67.4868295293357</t>
  </si>
  <si>
    <t>86586</t>
  </si>
  <si>
    <t>Thickness(Ft)</t>
  </si>
  <si>
    <t>Thickness(Y)</t>
  </si>
  <si>
    <t>CY</t>
  </si>
  <si>
    <t>0353 70</t>
  </si>
  <si>
    <t>Concrete Pavement Slab 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</si>
</sst>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X96"/>
  <sheetViews>
    <sheetView tabSelected="1" showRuler="0" topLeftCell="B1" zoomScale="106" zoomScaleNormal="106" zoomScaleSheetLayoutView="90" zoomScalePageLayoutView="80" workbookViewId="0">
      <selection activeCell="Y7" sqref="Y7"/>
    </sheetView>
  </sheetViews>
  <sheetFormatPr defaultColWidth="9.140625" defaultRowHeight="11.25" x14ac:dyDescent="0.25"/>
  <cols>
    <col min="1" max="1" width="9.140625" style="3" hidden="1" customWidth="1"/>
    <col min="2" max="2" width="9.7109375" style="2" customWidth="1"/>
    <col min="3" max="3" width="9.7109375" style="2" hidden="1" customWidth="1"/>
    <col min="4" max="4" width="51.85546875" style="2" customWidth="1"/>
    <col min="5" max="7" width="10.7109375" style="2" hidden="1" customWidth="1"/>
    <col min="8" max="8" width="8.28515625" style="2" customWidth="1"/>
    <col min="9" max="10" width="10.7109375" style="2" hidden="1" customWidth="1"/>
    <col min="11" max="11" width="13.28515625" style="2" hidden="1" customWidth="1"/>
    <col min="12" max="14" width="10.7109375" style="2" hidden="1" customWidth="1"/>
    <col min="15" max="15" width="6.7109375" style="2" hidden="1" customWidth="1"/>
    <col min="16" max="16" width="10.7109375" style="2" hidden="1" customWidth="1"/>
    <col min="17" max="17" width="6.7109375" style="2" hidden="1" customWidth="1"/>
    <col min="18" max="20" width="10.7109375" style="2" hidden="1" customWidth="1"/>
    <col min="21" max="21" width="9.7109375" style="2" hidden="1" customWidth="1"/>
    <col min="22" max="22" width="6.7109375" style="2" hidden="1" customWidth="1"/>
    <col min="23" max="26" width="6.7109375" style="2" customWidth="1"/>
    <col min="27" max="32" width="6.7109375" style="2" hidden="1" customWidth="1"/>
    <col min="33" max="33" width="9.28515625" style="2" customWidth="1"/>
    <col min="34" max="36" width="12.7109375" style="2" customWidth="1"/>
    <col min="37" max="37" width="6.7109375" style="2" hidden="1" customWidth="1"/>
    <col min="38" max="38" width="6.7109375" style="2" customWidth="1"/>
    <col min="39" max="39" width="7.7109375" style="2" customWidth="1"/>
    <col min="40" max="40" width="14.7109375" style="2" customWidth="1"/>
    <col min="41" max="41" width="14.7109375" style="8" customWidth="1"/>
    <col min="42" max="42" width="9.140625" style="1" customWidth="1"/>
    <col min="43" max="16384" width="9.140625" style="1"/>
  </cols>
  <sheetData>
    <row r="1" spans="1:50" ht="1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4"/>
    </row>
    <row r="2" spans="1:50" s="6" customFormat="1" ht="11.25" customHeight="1" x14ac:dyDescent="0.25">
      <c r="A2" s="15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/>
      <c r="X2" s="11"/>
      <c r="Y2" s="11" t="s">
        <v>23</v>
      </c>
      <c r="Z2" s="11"/>
      <c r="AA2" s="11" t="s">
        <v>24</v>
      </c>
      <c r="AB2" s="11"/>
      <c r="AC2" s="11"/>
      <c r="AD2" s="11" t="s">
        <v>25</v>
      </c>
      <c r="AE2" s="11"/>
      <c r="AF2" s="11"/>
      <c r="AG2" s="11"/>
      <c r="AH2" s="11"/>
      <c r="AI2" s="11"/>
      <c r="AJ2" s="11"/>
      <c r="AK2" s="11"/>
      <c r="AL2" s="11"/>
      <c r="AM2" s="11"/>
      <c r="AN2" s="11" t="s">
        <v>26</v>
      </c>
      <c r="AO2" s="16" t="s">
        <v>27</v>
      </c>
    </row>
    <row r="3" spans="1:50" s="6" customFormat="1" ht="33.75" x14ac:dyDescent="0.25">
      <c r="A3" s="15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7" t="s">
        <v>28</v>
      </c>
      <c r="W3" s="7" t="s">
        <v>29</v>
      </c>
      <c r="X3" s="7" t="s">
        <v>30</v>
      </c>
      <c r="Y3" s="7" t="s">
        <v>29</v>
      </c>
      <c r="Z3" s="7" t="s">
        <v>30</v>
      </c>
      <c r="AA3" s="7" t="s">
        <v>31</v>
      </c>
      <c r="AB3" s="7" t="s">
        <v>29</v>
      </c>
      <c r="AC3" s="7" t="s">
        <v>30</v>
      </c>
      <c r="AD3" s="7" t="s">
        <v>32</v>
      </c>
      <c r="AE3" s="7" t="s">
        <v>33</v>
      </c>
      <c r="AF3" s="7" t="s">
        <v>34</v>
      </c>
      <c r="AG3" s="7" t="s">
        <v>35</v>
      </c>
      <c r="AH3" s="7" t="s">
        <v>36</v>
      </c>
      <c r="AI3" s="7" t="s">
        <v>37</v>
      </c>
      <c r="AJ3" s="7" t="s">
        <v>38</v>
      </c>
      <c r="AK3" s="7" t="s">
        <v>39</v>
      </c>
      <c r="AL3" s="7" t="s">
        <v>40</v>
      </c>
      <c r="AM3" s="7" t="s">
        <v>41</v>
      </c>
      <c r="AN3" s="11"/>
      <c r="AO3" s="16"/>
    </row>
    <row r="4" spans="1:50" x14ac:dyDescent="0.25">
      <c r="B4" s="2" t="s">
        <v>411</v>
      </c>
      <c r="C4" s="2" t="s">
        <v>42</v>
      </c>
      <c r="D4" s="2" t="s">
        <v>412</v>
      </c>
      <c r="E4" s="4"/>
      <c r="F4" s="4"/>
      <c r="G4" s="4"/>
      <c r="H4" s="2" t="s">
        <v>410</v>
      </c>
      <c r="I4" s="2" t="s">
        <v>42</v>
      </c>
      <c r="J4" s="2" t="s">
        <v>42</v>
      </c>
      <c r="M4" s="2" t="s">
        <v>42</v>
      </c>
      <c r="N4" s="2" t="s">
        <v>42</v>
      </c>
      <c r="P4" s="2" t="s">
        <v>42</v>
      </c>
      <c r="Q4" s="2" t="s">
        <v>42</v>
      </c>
      <c r="R4" s="2" t="s">
        <v>42</v>
      </c>
      <c r="S4" s="2" t="s">
        <v>42</v>
      </c>
      <c r="T4" s="2" t="s">
        <v>42</v>
      </c>
      <c r="U4" s="2" t="s">
        <v>42</v>
      </c>
      <c r="W4" s="9">
        <v>18.016666666666669</v>
      </c>
      <c r="Y4" s="10">
        <v>900</v>
      </c>
      <c r="AA4" s="2" t="s">
        <v>42</v>
      </c>
      <c r="AB4" s="2" t="s">
        <v>42</v>
      </c>
      <c r="AD4" s="2" t="s">
        <v>42</v>
      </c>
      <c r="AG4" s="2" t="s">
        <v>44</v>
      </c>
      <c r="AH4" s="2" t="s">
        <v>45</v>
      </c>
      <c r="AI4" s="2" t="s">
        <v>46</v>
      </c>
      <c r="AJ4" s="2" t="s">
        <v>42</v>
      </c>
      <c r="AK4" s="2" t="s">
        <v>47</v>
      </c>
      <c r="AL4" s="2" t="s">
        <v>48</v>
      </c>
      <c r="AM4" s="2" t="s">
        <v>49</v>
      </c>
      <c r="AN4" s="4" t="s">
        <v>42</v>
      </c>
      <c r="AO4" s="5" t="s">
        <v>42</v>
      </c>
    </row>
    <row r="5" spans="1:50" x14ac:dyDescent="0.25">
      <c r="C5" s="2" t="s">
        <v>42</v>
      </c>
      <c r="D5" s="4"/>
      <c r="E5" s="4"/>
      <c r="F5" s="4"/>
      <c r="G5" s="4"/>
      <c r="I5" s="2" t="s">
        <v>42</v>
      </c>
      <c r="J5" s="2" t="s">
        <v>42</v>
      </c>
      <c r="M5" s="2" t="s">
        <v>42</v>
      </c>
      <c r="N5" s="2" t="s">
        <v>42</v>
      </c>
      <c r="P5" s="2" t="s">
        <v>42</v>
      </c>
      <c r="Q5" s="2" t="s">
        <v>42</v>
      </c>
      <c r="R5" s="2" t="s">
        <v>42</v>
      </c>
      <c r="S5" s="2" t="s">
        <v>42</v>
      </c>
      <c r="T5" s="2" t="s">
        <v>42</v>
      </c>
      <c r="U5" s="2" t="s">
        <v>42</v>
      </c>
      <c r="W5" s="9">
        <v>23.351388888888888</v>
      </c>
      <c r="AB5" s="2" t="s">
        <v>42</v>
      </c>
      <c r="AD5" s="2" t="s">
        <v>42</v>
      </c>
      <c r="AG5" s="2" t="s">
        <v>44</v>
      </c>
      <c r="AH5" s="2" t="s">
        <v>50</v>
      </c>
      <c r="AI5" s="2" t="s">
        <v>51</v>
      </c>
      <c r="AJ5" s="2" t="s">
        <v>42</v>
      </c>
      <c r="AK5" s="2" t="s">
        <v>52</v>
      </c>
      <c r="AL5" s="2" t="s">
        <v>48</v>
      </c>
      <c r="AM5" s="2" t="s">
        <v>53</v>
      </c>
      <c r="AN5" s="4" t="s">
        <v>42</v>
      </c>
      <c r="AO5" s="5" t="s">
        <v>42</v>
      </c>
    </row>
    <row r="6" spans="1:50" x14ac:dyDescent="0.25">
      <c r="C6" s="2" t="s">
        <v>42</v>
      </c>
      <c r="D6" s="4"/>
      <c r="E6" s="4"/>
      <c r="F6" s="4"/>
      <c r="G6" s="4"/>
      <c r="I6" s="2" t="s">
        <v>42</v>
      </c>
      <c r="J6" s="2" t="s">
        <v>42</v>
      </c>
      <c r="M6" s="2" t="s">
        <v>42</v>
      </c>
      <c r="N6" s="2" t="s">
        <v>42</v>
      </c>
      <c r="P6" s="2" t="s">
        <v>42</v>
      </c>
      <c r="Q6" s="2" t="s">
        <v>42</v>
      </c>
      <c r="R6" s="2" t="s">
        <v>42</v>
      </c>
      <c r="S6" s="2" t="s">
        <v>42</v>
      </c>
      <c r="T6" s="2" t="s">
        <v>42</v>
      </c>
      <c r="U6" s="2" t="s">
        <v>42</v>
      </c>
      <c r="W6" s="9">
        <v>8.1138888888888889</v>
      </c>
      <c r="AB6" s="2" t="s">
        <v>42</v>
      </c>
      <c r="AD6" s="2" t="s">
        <v>42</v>
      </c>
      <c r="AG6" s="2" t="s">
        <v>44</v>
      </c>
      <c r="AH6" s="2" t="s">
        <v>54</v>
      </c>
      <c r="AI6" s="2" t="s">
        <v>55</v>
      </c>
      <c r="AJ6" s="2" t="s">
        <v>42</v>
      </c>
      <c r="AK6" s="2" t="s">
        <v>56</v>
      </c>
      <c r="AL6" s="2" t="s">
        <v>48</v>
      </c>
      <c r="AM6" s="2" t="s">
        <v>57</v>
      </c>
      <c r="AN6" s="4" t="s">
        <v>42</v>
      </c>
      <c r="AO6" s="5" t="s">
        <v>42</v>
      </c>
      <c r="AT6" s="1" t="s">
        <v>408</v>
      </c>
      <c r="AU6" s="1" t="s">
        <v>409</v>
      </c>
      <c r="AV6" s="1" t="s">
        <v>43</v>
      </c>
      <c r="AX6" s="1" t="s">
        <v>410</v>
      </c>
    </row>
    <row r="7" spans="1:50" x14ac:dyDescent="0.25">
      <c r="C7" s="2" t="s">
        <v>42</v>
      </c>
      <c r="D7" s="4"/>
      <c r="E7" s="4"/>
      <c r="F7" s="4"/>
      <c r="G7" s="4"/>
      <c r="I7" s="2" t="s">
        <v>42</v>
      </c>
      <c r="J7" s="2" t="s">
        <v>42</v>
      </c>
      <c r="M7" s="2" t="s">
        <v>42</v>
      </c>
      <c r="N7" s="2" t="s">
        <v>42</v>
      </c>
      <c r="P7" s="2" t="s">
        <v>42</v>
      </c>
      <c r="Q7" s="2" t="s">
        <v>42</v>
      </c>
      <c r="R7" s="2" t="s">
        <v>42</v>
      </c>
      <c r="S7" s="2" t="s">
        <v>42</v>
      </c>
      <c r="T7" s="2" t="s">
        <v>42</v>
      </c>
      <c r="U7" s="2" t="s">
        <v>42</v>
      </c>
      <c r="W7" s="9">
        <v>22.840277777777779</v>
      </c>
      <c r="AB7" s="2" t="s">
        <v>42</v>
      </c>
      <c r="AD7" s="2" t="s">
        <v>42</v>
      </c>
      <c r="AG7" s="2" t="s">
        <v>44</v>
      </c>
      <c r="AH7" s="2" t="s">
        <v>58</v>
      </c>
      <c r="AI7" s="2" t="s">
        <v>59</v>
      </c>
      <c r="AJ7" s="2" t="s">
        <v>42</v>
      </c>
      <c r="AK7" s="2" t="s">
        <v>60</v>
      </c>
      <c r="AL7" s="2" t="s">
        <v>48</v>
      </c>
      <c r="AM7" s="2" t="s">
        <v>61</v>
      </c>
      <c r="AN7" s="4" t="s">
        <v>42</v>
      </c>
      <c r="AO7" s="5" t="s">
        <v>42</v>
      </c>
      <c r="AT7" s="1">
        <f>11.5/12</f>
        <v>0.95833333333333337</v>
      </c>
      <c r="AU7" s="1">
        <f>AT7/3</f>
        <v>0.31944444444444448</v>
      </c>
      <c r="AV7" s="1">
        <v>56.4</v>
      </c>
      <c r="AX7" s="1">
        <f>$AU$7*AV7</f>
        <v>18.016666666666669</v>
      </c>
    </row>
    <row r="8" spans="1:50" x14ac:dyDescent="0.25">
      <c r="C8" s="2" t="s">
        <v>42</v>
      </c>
      <c r="D8" s="4"/>
      <c r="E8" s="4"/>
      <c r="F8" s="4"/>
      <c r="G8" s="4"/>
      <c r="I8" s="2" t="s">
        <v>42</v>
      </c>
      <c r="J8" s="2" t="s">
        <v>42</v>
      </c>
      <c r="M8" s="2" t="s">
        <v>42</v>
      </c>
      <c r="N8" s="2" t="s">
        <v>42</v>
      </c>
      <c r="P8" s="2" t="s">
        <v>42</v>
      </c>
      <c r="Q8" s="2" t="s">
        <v>42</v>
      </c>
      <c r="R8" s="2" t="s">
        <v>42</v>
      </c>
      <c r="S8" s="2" t="s">
        <v>42</v>
      </c>
      <c r="T8" s="2" t="s">
        <v>42</v>
      </c>
      <c r="U8" s="2" t="s">
        <v>42</v>
      </c>
      <c r="W8" s="9">
        <v>2.5236111111111112</v>
      </c>
      <c r="AB8" s="2" t="s">
        <v>42</v>
      </c>
      <c r="AD8" s="2" t="s">
        <v>42</v>
      </c>
      <c r="AG8" s="2" t="s">
        <v>44</v>
      </c>
      <c r="AH8" s="2" t="s">
        <v>62</v>
      </c>
      <c r="AI8" s="2" t="s">
        <v>63</v>
      </c>
      <c r="AJ8" s="2" t="s">
        <v>42</v>
      </c>
      <c r="AK8" s="2" t="s">
        <v>64</v>
      </c>
      <c r="AL8" s="2" t="s">
        <v>48</v>
      </c>
      <c r="AM8" s="2" t="s">
        <v>65</v>
      </c>
      <c r="AN8" s="4" t="s">
        <v>42</v>
      </c>
      <c r="AO8" s="5" t="s">
        <v>42</v>
      </c>
      <c r="AT8" s="1">
        <f>((9.6+11.5)/2)/12</f>
        <v>0.87916666666666676</v>
      </c>
      <c r="AU8" s="1">
        <f>AT8/3</f>
        <v>0.29305555555555557</v>
      </c>
      <c r="AV8" s="1">
        <v>73.099999999999994</v>
      </c>
      <c r="AX8" s="1">
        <f t="shared" ref="AX8:AX71" si="0">$AU$7*AV8</f>
        <v>23.351388888888888</v>
      </c>
    </row>
    <row r="9" spans="1:50" x14ac:dyDescent="0.25">
      <c r="C9" s="2" t="s">
        <v>42</v>
      </c>
      <c r="D9" s="4"/>
      <c r="E9" s="4"/>
      <c r="F9" s="4"/>
      <c r="G9" s="4"/>
      <c r="I9" s="2" t="s">
        <v>42</v>
      </c>
      <c r="J9" s="2" t="s">
        <v>42</v>
      </c>
      <c r="M9" s="2" t="s">
        <v>42</v>
      </c>
      <c r="N9" s="2" t="s">
        <v>42</v>
      </c>
      <c r="P9" s="2" t="s">
        <v>42</v>
      </c>
      <c r="Q9" s="2" t="s">
        <v>42</v>
      </c>
      <c r="R9" s="2" t="s">
        <v>42</v>
      </c>
      <c r="S9" s="2" t="s">
        <v>42</v>
      </c>
      <c r="T9" s="2" t="s">
        <v>42</v>
      </c>
      <c r="U9" s="2" t="s">
        <v>42</v>
      </c>
      <c r="W9" s="9">
        <v>23.766666666666669</v>
      </c>
      <c r="AB9" s="2" t="s">
        <v>42</v>
      </c>
      <c r="AD9" s="2" t="s">
        <v>42</v>
      </c>
      <c r="AG9" s="2" t="s">
        <v>44</v>
      </c>
      <c r="AH9" s="2" t="s">
        <v>66</v>
      </c>
      <c r="AI9" s="2" t="s">
        <v>67</v>
      </c>
      <c r="AJ9" s="2" t="s">
        <v>42</v>
      </c>
      <c r="AK9" s="2" t="s">
        <v>68</v>
      </c>
      <c r="AL9" s="2" t="s">
        <v>48</v>
      </c>
      <c r="AM9" s="2" t="s">
        <v>69</v>
      </c>
      <c r="AN9" s="4" t="s">
        <v>42</v>
      </c>
      <c r="AO9" s="5" t="s">
        <v>42</v>
      </c>
      <c r="AV9" s="1">
        <v>25.4</v>
      </c>
      <c r="AX9" s="1">
        <f t="shared" si="0"/>
        <v>8.1138888888888889</v>
      </c>
    </row>
    <row r="10" spans="1:50" x14ac:dyDescent="0.25">
      <c r="C10" s="2" t="s">
        <v>42</v>
      </c>
      <c r="D10" s="4"/>
      <c r="E10" s="4"/>
      <c r="F10" s="4"/>
      <c r="G10" s="4"/>
      <c r="I10" s="2" t="s">
        <v>42</v>
      </c>
      <c r="J10" s="2" t="s">
        <v>42</v>
      </c>
      <c r="M10" s="2" t="s">
        <v>42</v>
      </c>
      <c r="N10" s="2" t="s">
        <v>42</v>
      </c>
      <c r="P10" s="2" t="s">
        <v>42</v>
      </c>
      <c r="Q10" s="2" t="s">
        <v>42</v>
      </c>
      <c r="R10" s="2" t="s">
        <v>42</v>
      </c>
      <c r="S10" s="2" t="s">
        <v>42</v>
      </c>
      <c r="T10" s="2" t="s">
        <v>42</v>
      </c>
      <c r="U10" s="2" t="s">
        <v>42</v>
      </c>
      <c r="W10" s="9">
        <v>5.0472222222222225</v>
      </c>
      <c r="AB10" s="2" t="s">
        <v>42</v>
      </c>
      <c r="AD10" s="2" t="s">
        <v>42</v>
      </c>
      <c r="AG10" s="2" t="s">
        <v>44</v>
      </c>
      <c r="AH10" s="2" t="s">
        <v>70</v>
      </c>
      <c r="AI10" s="2" t="s">
        <v>71</v>
      </c>
      <c r="AJ10" s="2" t="s">
        <v>42</v>
      </c>
      <c r="AK10" s="2" t="s">
        <v>72</v>
      </c>
      <c r="AL10" s="2" t="s">
        <v>48</v>
      </c>
      <c r="AM10" s="2" t="s">
        <v>73</v>
      </c>
      <c r="AN10" s="4" t="s">
        <v>42</v>
      </c>
      <c r="AO10" s="5" t="s">
        <v>42</v>
      </c>
      <c r="AV10" s="1">
        <v>71.5</v>
      </c>
      <c r="AX10" s="1">
        <f t="shared" si="0"/>
        <v>22.840277777777779</v>
      </c>
    </row>
    <row r="11" spans="1:50" x14ac:dyDescent="0.25">
      <c r="C11" s="2" t="s">
        <v>42</v>
      </c>
      <c r="D11" s="4"/>
      <c r="E11" s="4"/>
      <c r="F11" s="4"/>
      <c r="G11" s="4"/>
      <c r="I11" s="2" t="s">
        <v>42</v>
      </c>
      <c r="J11" s="2" t="s">
        <v>42</v>
      </c>
      <c r="M11" s="2" t="s">
        <v>42</v>
      </c>
      <c r="N11" s="2" t="s">
        <v>42</v>
      </c>
      <c r="P11" s="2" t="s">
        <v>42</v>
      </c>
      <c r="Q11" s="2" t="s">
        <v>42</v>
      </c>
      <c r="R11" s="2" t="s">
        <v>42</v>
      </c>
      <c r="S11" s="2" t="s">
        <v>42</v>
      </c>
      <c r="T11" s="2" t="s">
        <v>42</v>
      </c>
      <c r="U11" s="2" t="s">
        <v>42</v>
      </c>
      <c r="W11" s="9">
        <v>5.1111111111111116</v>
      </c>
      <c r="AB11" s="2" t="s">
        <v>42</v>
      </c>
      <c r="AD11" s="2" t="s">
        <v>42</v>
      </c>
      <c r="AG11" s="2" t="s">
        <v>44</v>
      </c>
      <c r="AH11" s="2" t="s">
        <v>74</v>
      </c>
      <c r="AI11" s="2" t="s">
        <v>75</v>
      </c>
      <c r="AJ11" s="2" t="s">
        <v>42</v>
      </c>
      <c r="AK11" s="2" t="s">
        <v>76</v>
      </c>
      <c r="AL11" s="2" t="s">
        <v>48</v>
      </c>
      <c r="AM11" s="2" t="s">
        <v>77</v>
      </c>
      <c r="AN11" s="4" t="s">
        <v>42</v>
      </c>
      <c r="AO11" s="5" t="s">
        <v>42</v>
      </c>
      <c r="AV11" s="1">
        <v>7.9</v>
      </c>
      <c r="AX11" s="1">
        <f t="shared" si="0"/>
        <v>2.5236111111111112</v>
      </c>
    </row>
    <row r="12" spans="1:50" x14ac:dyDescent="0.25">
      <c r="C12" s="2" t="s">
        <v>42</v>
      </c>
      <c r="D12" s="4"/>
      <c r="E12" s="4"/>
      <c r="F12" s="4"/>
      <c r="G12" s="4"/>
      <c r="I12" s="2" t="s">
        <v>42</v>
      </c>
      <c r="J12" s="2" t="s">
        <v>42</v>
      </c>
      <c r="M12" s="2" t="s">
        <v>42</v>
      </c>
      <c r="N12" s="2" t="s">
        <v>42</v>
      </c>
      <c r="P12" s="2" t="s">
        <v>42</v>
      </c>
      <c r="Q12" s="2" t="s">
        <v>42</v>
      </c>
      <c r="R12" s="2" t="s">
        <v>42</v>
      </c>
      <c r="S12" s="2" t="s">
        <v>42</v>
      </c>
      <c r="T12" s="2" t="s">
        <v>42</v>
      </c>
      <c r="U12" s="2" t="s">
        <v>42</v>
      </c>
      <c r="W12" s="9">
        <v>22.520833333333336</v>
      </c>
      <c r="AB12" s="2" t="s">
        <v>42</v>
      </c>
      <c r="AD12" s="2" t="s">
        <v>42</v>
      </c>
      <c r="AG12" s="2" t="s">
        <v>44</v>
      </c>
      <c r="AH12" s="2" t="s">
        <v>78</v>
      </c>
      <c r="AI12" s="2" t="s">
        <v>79</v>
      </c>
      <c r="AJ12" s="2" t="s">
        <v>42</v>
      </c>
      <c r="AK12" s="2" t="s">
        <v>80</v>
      </c>
      <c r="AL12" s="2" t="s">
        <v>48</v>
      </c>
      <c r="AM12" s="2" t="s">
        <v>81</v>
      </c>
      <c r="AN12" s="4" t="s">
        <v>42</v>
      </c>
      <c r="AO12" s="5" t="s">
        <v>42</v>
      </c>
      <c r="AV12" s="1">
        <v>74.400000000000006</v>
      </c>
      <c r="AX12" s="1">
        <f t="shared" si="0"/>
        <v>23.766666666666669</v>
      </c>
    </row>
    <row r="13" spans="1:50" x14ac:dyDescent="0.25">
      <c r="C13" s="2" t="s">
        <v>42</v>
      </c>
      <c r="D13" s="4"/>
      <c r="E13" s="4"/>
      <c r="F13" s="4"/>
      <c r="G13" s="4"/>
      <c r="I13" s="2" t="s">
        <v>42</v>
      </c>
      <c r="J13" s="2" t="s">
        <v>42</v>
      </c>
      <c r="M13" s="2" t="s">
        <v>42</v>
      </c>
      <c r="N13" s="2" t="s">
        <v>42</v>
      </c>
      <c r="P13" s="2" t="s">
        <v>42</v>
      </c>
      <c r="Q13" s="2" t="s">
        <v>42</v>
      </c>
      <c r="R13" s="2" t="s">
        <v>42</v>
      </c>
      <c r="S13" s="2" t="s">
        <v>42</v>
      </c>
      <c r="T13" s="2" t="s">
        <v>42</v>
      </c>
      <c r="U13" s="2" t="s">
        <v>42</v>
      </c>
      <c r="W13" s="9">
        <v>17.218055555555555</v>
      </c>
      <c r="AB13" s="2" t="s">
        <v>42</v>
      </c>
      <c r="AD13" s="2" t="s">
        <v>42</v>
      </c>
      <c r="AG13" s="2" t="s">
        <v>44</v>
      </c>
      <c r="AH13" s="2" t="s">
        <v>82</v>
      </c>
      <c r="AI13" s="2" t="s">
        <v>83</v>
      </c>
      <c r="AJ13" s="2" t="s">
        <v>42</v>
      </c>
      <c r="AK13" s="2" t="s">
        <v>84</v>
      </c>
      <c r="AL13" s="2" t="s">
        <v>85</v>
      </c>
      <c r="AM13" s="2" t="s">
        <v>86</v>
      </c>
      <c r="AN13" s="4" t="s">
        <v>42</v>
      </c>
      <c r="AO13" s="5" t="s">
        <v>42</v>
      </c>
      <c r="AV13" s="1">
        <v>15.8</v>
      </c>
      <c r="AX13" s="1">
        <f t="shared" si="0"/>
        <v>5.0472222222222225</v>
      </c>
    </row>
    <row r="14" spans="1:50" x14ac:dyDescent="0.25">
      <c r="C14" s="2" t="s">
        <v>42</v>
      </c>
      <c r="D14" s="4"/>
      <c r="E14" s="4"/>
      <c r="F14" s="4"/>
      <c r="G14" s="4"/>
      <c r="I14" s="2" t="s">
        <v>42</v>
      </c>
      <c r="J14" s="2" t="s">
        <v>42</v>
      </c>
      <c r="M14" s="2" t="s">
        <v>42</v>
      </c>
      <c r="N14" s="2" t="s">
        <v>42</v>
      </c>
      <c r="P14" s="2" t="s">
        <v>42</v>
      </c>
      <c r="Q14" s="2" t="s">
        <v>42</v>
      </c>
      <c r="R14" s="2" t="s">
        <v>42</v>
      </c>
      <c r="S14" s="2" t="s">
        <v>42</v>
      </c>
      <c r="T14" s="2" t="s">
        <v>42</v>
      </c>
      <c r="U14" s="2" t="s">
        <v>42</v>
      </c>
      <c r="W14" s="9">
        <v>61.461111111111116</v>
      </c>
      <c r="AB14" s="2" t="s">
        <v>42</v>
      </c>
      <c r="AD14" s="2" t="s">
        <v>42</v>
      </c>
      <c r="AG14" s="2" t="s">
        <v>44</v>
      </c>
      <c r="AH14" s="2" t="s">
        <v>87</v>
      </c>
      <c r="AI14" s="2" t="s">
        <v>88</v>
      </c>
      <c r="AJ14" s="2" t="s">
        <v>42</v>
      </c>
      <c r="AK14" s="2" t="s">
        <v>89</v>
      </c>
      <c r="AL14" s="2" t="s">
        <v>85</v>
      </c>
      <c r="AM14" s="2" t="s">
        <v>90</v>
      </c>
      <c r="AN14" s="4" t="s">
        <v>42</v>
      </c>
      <c r="AO14" s="5" t="s">
        <v>42</v>
      </c>
      <c r="AV14" s="1">
        <v>16</v>
      </c>
      <c r="AX14" s="1">
        <f t="shared" si="0"/>
        <v>5.1111111111111116</v>
      </c>
    </row>
    <row r="15" spans="1:50" x14ac:dyDescent="0.25">
      <c r="C15" s="2" t="s">
        <v>42</v>
      </c>
      <c r="D15" s="4"/>
      <c r="E15" s="4"/>
      <c r="F15" s="4"/>
      <c r="G15" s="4"/>
      <c r="I15" s="2" t="s">
        <v>42</v>
      </c>
      <c r="J15" s="2" t="s">
        <v>42</v>
      </c>
      <c r="M15" s="2" t="s">
        <v>42</v>
      </c>
      <c r="N15" s="2" t="s">
        <v>42</v>
      </c>
      <c r="P15" s="2" t="s">
        <v>42</v>
      </c>
      <c r="Q15" s="2" t="s">
        <v>42</v>
      </c>
      <c r="R15" s="2" t="s">
        <v>42</v>
      </c>
      <c r="S15" s="2" t="s">
        <v>42</v>
      </c>
      <c r="T15" s="2" t="s">
        <v>42</v>
      </c>
      <c r="U15" s="2" t="s">
        <v>42</v>
      </c>
      <c r="W15" s="9">
        <v>11.947222222222223</v>
      </c>
      <c r="AB15" s="2" t="s">
        <v>42</v>
      </c>
      <c r="AD15" s="2" t="s">
        <v>42</v>
      </c>
      <c r="AG15" s="2" t="s">
        <v>44</v>
      </c>
      <c r="AH15" s="2" t="s">
        <v>91</v>
      </c>
      <c r="AI15" s="2" t="s">
        <v>92</v>
      </c>
      <c r="AJ15" s="2" t="s">
        <v>42</v>
      </c>
      <c r="AK15" s="2" t="s">
        <v>93</v>
      </c>
      <c r="AL15" s="2" t="s">
        <v>48</v>
      </c>
      <c r="AM15" s="2" t="s">
        <v>94</v>
      </c>
      <c r="AN15" s="4" t="s">
        <v>42</v>
      </c>
      <c r="AO15" s="5" t="s">
        <v>42</v>
      </c>
      <c r="AV15" s="1">
        <v>70.5</v>
      </c>
      <c r="AX15" s="1">
        <f t="shared" si="0"/>
        <v>22.520833333333336</v>
      </c>
    </row>
    <row r="16" spans="1:50" x14ac:dyDescent="0.25">
      <c r="C16" s="2" t="s">
        <v>42</v>
      </c>
      <c r="D16" s="4"/>
      <c r="E16" s="4"/>
      <c r="F16" s="4"/>
      <c r="G16" s="4"/>
      <c r="I16" s="2" t="s">
        <v>42</v>
      </c>
      <c r="J16" s="2" t="s">
        <v>42</v>
      </c>
      <c r="M16" s="2" t="s">
        <v>42</v>
      </c>
      <c r="N16" s="2" t="s">
        <v>42</v>
      </c>
      <c r="P16" s="2" t="s">
        <v>42</v>
      </c>
      <c r="Q16" s="2" t="s">
        <v>42</v>
      </c>
      <c r="R16" s="2" t="s">
        <v>42</v>
      </c>
      <c r="S16" s="2" t="s">
        <v>42</v>
      </c>
      <c r="T16" s="2" t="s">
        <v>42</v>
      </c>
      <c r="U16" s="2" t="s">
        <v>42</v>
      </c>
      <c r="W16" s="9">
        <v>16.675000000000004</v>
      </c>
      <c r="AB16" s="2" t="s">
        <v>42</v>
      </c>
      <c r="AD16" s="2" t="s">
        <v>42</v>
      </c>
      <c r="AG16" s="2" t="s">
        <v>44</v>
      </c>
      <c r="AH16" s="2" t="s">
        <v>95</v>
      </c>
      <c r="AI16" s="2" t="s">
        <v>96</v>
      </c>
      <c r="AJ16" s="2" t="s">
        <v>42</v>
      </c>
      <c r="AK16" s="2" t="s">
        <v>97</v>
      </c>
      <c r="AL16" s="2" t="s">
        <v>85</v>
      </c>
      <c r="AM16" s="2" t="s">
        <v>98</v>
      </c>
      <c r="AN16" s="4" t="s">
        <v>42</v>
      </c>
      <c r="AO16" s="5" t="s">
        <v>42</v>
      </c>
      <c r="AV16" s="1">
        <v>53.9</v>
      </c>
      <c r="AX16" s="1">
        <f t="shared" si="0"/>
        <v>17.218055555555555</v>
      </c>
    </row>
    <row r="17" spans="3:50" x14ac:dyDescent="0.25">
      <c r="C17" s="2" t="s">
        <v>42</v>
      </c>
      <c r="D17" s="4"/>
      <c r="E17" s="4"/>
      <c r="F17" s="4"/>
      <c r="G17" s="4"/>
      <c r="I17" s="2" t="s">
        <v>42</v>
      </c>
      <c r="J17" s="2" t="s">
        <v>42</v>
      </c>
      <c r="M17" s="2" t="s">
        <v>42</v>
      </c>
      <c r="N17" s="2" t="s">
        <v>42</v>
      </c>
      <c r="P17" s="2" t="s">
        <v>42</v>
      </c>
      <c r="Q17" s="2" t="s">
        <v>42</v>
      </c>
      <c r="R17" s="2" t="s">
        <v>42</v>
      </c>
      <c r="S17" s="2" t="s">
        <v>42</v>
      </c>
      <c r="T17" s="2" t="s">
        <v>42</v>
      </c>
      <c r="U17" s="2" t="s">
        <v>42</v>
      </c>
      <c r="W17" s="9">
        <v>4.5041666666666673</v>
      </c>
      <c r="AB17" s="2" t="s">
        <v>42</v>
      </c>
      <c r="AD17" s="2" t="s">
        <v>42</v>
      </c>
      <c r="AG17" s="2" t="s">
        <v>44</v>
      </c>
      <c r="AH17" s="2" t="s">
        <v>99</v>
      </c>
      <c r="AI17" s="2" t="s">
        <v>100</v>
      </c>
      <c r="AJ17" s="2" t="s">
        <v>42</v>
      </c>
      <c r="AK17" s="2" t="s">
        <v>101</v>
      </c>
      <c r="AL17" s="2" t="s">
        <v>48</v>
      </c>
      <c r="AM17" s="2" t="s">
        <v>102</v>
      </c>
      <c r="AN17" s="4" t="s">
        <v>42</v>
      </c>
      <c r="AO17" s="5" t="s">
        <v>42</v>
      </c>
      <c r="AV17" s="1">
        <v>192.4</v>
      </c>
      <c r="AX17" s="1">
        <f t="shared" si="0"/>
        <v>61.461111111111116</v>
      </c>
    </row>
    <row r="18" spans="3:50" x14ac:dyDescent="0.25">
      <c r="C18" s="2" t="s">
        <v>42</v>
      </c>
      <c r="D18" s="4"/>
      <c r="E18" s="4"/>
      <c r="F18" s="4"/>
      <c r="G18" s="4"/>
      <c r="I18" s="2" t="s">
        <v>42</v>
      </c>
      <c r="J18" s="2" t="s">
        <v>42</v>
      </c>
      <c r="M18" s="2" t="s">
        <v>42</v>
      </c>
      <c r="N18" s="2" t="s">
        <v>42</v>
      </c>
      <c r="P18" s="2" t="s">
        <v>42</v>
      </c>
      <c r="Q18" s="2" t="s">
        <v>42</v>
      </c>
      <c r="R18" s="2" t="s">
        <v>42</v>
      </c>
      <c r="S18" s="2" t="s">
        <v>42</v>
      </c>
      <c r="T18" s="2" t="s">
        <v>42</v>
      </c>
      <c r="U18" s="2" t="s">
        <v>42</v>
      </c>
      <c r="W18" s="9">
        <v>8.2097222222222221</v>
      </c>
      <c r="AB18" s="2" t="s">
        <v>42</v>
      </c>
      <c r="AD18" s="2" t="s">
        <v>42</v>
      </c>
      <c r="AG18" s="2" t="s">
        <v>44</v>
      </c>
      <c r="AH18" s="2" t="s">
        <v>103</v>
      </c>
      <c r="AI18" s="2" t="s">
        <v>104</v>
      </c>
      <c r="AJ18" s="2" t="s">
        <v>42</v>
      </c>
      <c r="AK18" s="2" t="s">
        <v>105</v>
      </c>
      <c r="AL18" s="2" t="s">
        <v>48</v>
      </c>
      <c r="AM18" s="2" t="s">
        <v>106</v>
      </c>
      <c r="AN18" s="4" t="s">
        <v>42</v>
      </c>
      <c r="AO18" s="5" t="s">
        <v>42</v>
      </c>
      <c r="AV18" s="1">
        <v>37.4</v>
      </c>
      <c r="AX18" s="1">
        <f t="shared" si="0"/>
        <v>11.947222222222223</v>
      </c>
    </row>
    <row r="19" spans="3:50" x14ac:dyDescent="0.25">
      <c r="C19" s="2" t="s">
        <v>42</v>
      </c>
      <c r="D19" s="4"/>
      <c r="E19" s="4"/>
      <c r="F19" s="4"/>
      <c r="G19" s="4"/>
      <c r="I19" s="2" t="s">
        <v>42</v>
      </c>
      <c r="J19" s="2" t="s">
        <v>42</v>
      </c>
      <c r="M19" s="2" t="s">
        <v>42</v>
      </c>
      <c r="N19" s="2" t="s">
        <v>42</v>
      </c>
      <c r="P19" s="2" t="s">
        <v>42</v>
      </c>
      <c r="Q19" s="2" t="s">
        <v>42</v>
      </c>
      <c r="R19" s="2" t="s">
        <v>42</v>
      </c>
      <c r="S19" s="2" t="s">
        <v>42</v>
      </c>
      <c r="T19" s="2" t="s">
        <v>42</v>
      </c>
      <c r="U19" s="2" t="s">
        <v>42</v>
      </c>
      <c r="W19" s="9">
        <v>7.0277777777777786</v>
      </c>
      <c r="AB19" s="2" t="s">
        <v>42</v>
      </c>
      <c r="AD19" s="2" t="s">
        <v>42</v>
      </c>
      <c r="AG19" s="2" t="s">
        <v>44</v>
      </c>
      <c r="AH19" s="2" t="s">
        <v>107</v>
      </c>
      <c r="AI19" s="2" t="s">
        <v>108</v>
      </c>
      <c r="AJ19" s="2" t="s">
        <v>42</v>
      </c>
      <c r="AK19" s="2" t="s">
        <v>109</v>
      </c>
      <c r="AL19" s="2" t="s">
        <v>85</v>
      </c>
      <c r="AM19" s="2" t="s">
        <v>110</v>
      </c>
      <c r="AN19" s="4" t="s">
        <v>42</v>
      </c>
      <c r="AO19" s="5" t="s">
        <v>42</v>
      </c>
      <c r="AV19" s="1">
        <v>52.2</v>
      </c>
      <c r="AX19" s="1">
        <f t="shared" si="0"/>
        <v>16.675000000000004</v>
      </c>
    </row>
    <row r="20" spans="3:50" x14ac:dyDescent="0.25">
      <c r="C20" s="2" t="s">
        <v>42</v>
      </c>
      <c r="D20" s="4"/>
      <c r="E20" s="4"/>
      <c r="F20" s="4"/>
      <c r="G20" s="4"/>
      <c r="I20" s="2" t="s">
        <v>42</v>
      </c>
      <c r="J20" s="2" t="s">
        <v>42</v>
      </c>
      <c r="M20" s="2" t="s">
        <v>42</v>
      </c>
      <c r="N20" s="2" t="s">
        <v>42</v>
      </c>
      <c r="P20" s="2" t="s">
        <v>42</v>
      </c>
      <c r="Q20" s="2" t="s">
        <v>42</v>
      </c>
      <c r="R20" s="2" t="s">
        <v>42</v>
      </c>
      <c r="S20" s="2" t="s">
        <v>42</v>
      </c>
      <c r="T20" s="2" t="s">
        <v>42</v>
      </c>
      <c r="U20" s="2" t="s">
        <v>42</v>
      </c>
      <c r="W20" s="9">
        <v>4.1847222222222227</v>
      </c>
      <c r="AB20" s="2" t="s">
        <v>42</v>
      </c>
      <c r="AD20" s="2" t="s">
        <v>42</v>
      </c>
      <c r="AG20" s="2" t="s">
        <v>44</v>
      </c>
      <c r="AH20" s="2" t="s">
        <v>111</v>
      </c>
      <c r="AI20" s="2" t="s">
        <v>112</v>
      </c>
      <c r="AJ20" s="2" t="s">
        <v>42</v>
      </c>
      <c r="AK20" s="2" t="s">
        <v>113</v>
      </c>
      <c r="AL20" s="2" t="s">
        <v>48</v>
      </c>
      <c r="AM20" s="2" t="s">
        <v>114</v>
      </c>
      <c r="AN20" s="4" t="s">
        <v>42</v>
      </c>
      <c r="AO20" s="5" t="s">
        <v>42</v>
      </c>
      <c r="AV20" s="1">
        <v>14.1</v>
      </c>
      <c r="AX20" s="1">
        <f t="shared" si="0"/>
        <v>4.5041666666666673</v>
      </c>
    </row>
    <row r="21" spans="3:50" x14ac:dyDescent="0.25">
      <c r="C21" s="2" t="s">
        <v>42</v>
      </c>
      <c r="D21" s="4"/>
      <c r="E21" s="4"/>
      <c r="F21" s="4"/>
      <c r="G21" s="4"/>
      <c r="I21" s="2" t="s">
        <v>42</v>
      </c>
      <c r="J21" s="2" t="s">
        <v>42</v>
      </c>
      <c r="M21" s="2" t="s">
        <v>42</v>
      </c>
      <c r="N21" s="2" t="s">
        <v>42</v>
      </c>
      <c r="P21" s="2" t="s">
        <v>42</v>
      </c>
      <c r="Q21" s="2" t="s">
        <v>42</v>
      </c>
      <c r="R21" s="2" t="s">
        <v>42</v>
      </c>
      <c r="S21" s="2" t="s">
        <v>42</v>
      </c>
      <c r="T21" s="2" t="s">
        <v>42</v>
      </c>
      <c r="U21" s="2" t="s">
        <v>42</v>
      </c>
      <c r="W21" s="9">
        <v>2.9708333333333337</v>
      </c>
      <c r="AB21" s="2" t="s">
        <v>42</v>
      </c>
      <c r="AD21" s="2" t="s">
        <v>42</v>
      </c>
      <c r="AG21" s="2" t="s">
        <v>44</v>
      </c>
      <c r="AH21" s="2" t="s">
        <v>115</v>
      </c>
      <c r="AI21" s="2" t="s">
        <v>116</v>
      </c>
      <c r="AJ21" s="2" t="s">
        <v>42</v>
      </c>
      <c r="AK21" s="2" t="s">
        <v>117</v>
      </c>
      <c r="AL21" s="2" t="s">
        <v>85</v>
      </c>
      <c r="AM21" s="2" t="s">
        <v>118</v>
      </c>
      <c r="AN21" s="4" t="s">
        <v>42</v>
      </c>
      <c r="AO21" s="5" t="s">
        <v>42</v>
      </c>
      <c r="AV21" s="1">
        <v>25.7</v>
      </c>
      <c r="AX21" s="1">
        <f t="shared" si="0"/>
        <v>8.2097222222222221</v>
      </c>
    </row>
    <row r="22" spans="3:50" x14ac:dyDescent="0.25">
      <c r="C22" s="2" t="s">
        <v>42</v>
      </c>
      <c r="D22" s="4"/>
      <c r="E22" s="4"/>
      <c r="F22" s="4"/>
      <c r="G22" s="4"/>
      <c r="I22" s="2" t="s">
        <v>42</v>
      </c>
      <c r="J22" s="2" t="s">
        <v>42</v>
      </c>
      <c r="M22" s="2" t="s">
        <v>42</v>
      </c>
      <c r="N22" s="2" t="s">
        <v>42</v>
      </c>
      <c r="P22" s="2" t="s">
        <v>42</v>
      </c>
      <c r="Q22" s="2" t="s">
        <v>42</v>
      </c>
      <c r="R22" s="2" t="s">
        <v>42</v>
      </c>
      <c r="S22" s="2" t="s">
        <v>42</v>
      </c>
      <c r="T22" s="2" t="s">
        <v>42</v>
      </c>
      <c r="U22" s="2" t="s">
        <v>42</v>
      </c>
      <c r="W22" s="9">
        <v>3.354166666666667</v>
      </c>
      <c r="AB22" s="2" t="s">
        <v>42</v>
      </c>
      <c r="AD22" s="2" t="s">
        <v>42</v>
      </c>
      <c r="AG22" s="2" t="s">
        <v>44</v>
      </c>
      <c r="AH22" s="2" t="s">
        <v>119</v>
      </c>
      <c r="AI22" s="2" t="s">
        <v>120</v>
      </c>
      <c r="AJ22" s="2" t="s">
        <v>42</v>
      </c>
      <c r="AK22" s="2" t="s">
        <v>121</v>
      </c>
      <c r="AL22" s="2" t="s">
        <v>122</v>
      </c>
      <c r="AM22" s="2" t="s">
        <v>123</v>
      </c>
      <c r="AN22" s="4" t="s">
        <v>42</v>
      </c>
      <c r="AO22" s="5" t="s">
        <v>42</v>
      </c>
      <c r="AV22" s="1">
        <v>22</v>
      </c>
      <c r="AX22" s="1">
        <f t="shared" si="0"/>
        <v>7.0277777777777786</v>
      </c>
    </row>
    <row r="23" spans="3:50" x14ac:dyDescent="0.25">
      <c r="C23" s="2" t="s">
        <v>42</v>
      </c>
      <c r="D23" s="4"/>
      <c r="E23" s="4"/>
      <c r="F23" s="4"/>
      <c r="G23" s="4"/>
      <c r="I23" s="2" t="s">
        <v>42</v>
      </c>
      <c r="J23" s="2" t="s">
        <v>42</v>
      </c>
      <c r="M23" s="2" t="s">
        <v>42</v>
      </c>
      <c r="N23" s="2" t="s">
        <v>42</v>
      </c>
      <c r="P23" s="2" t="s">
        <v>42</v>
      </c>
      <c r="Q23" s="2" t="s">
        <v>42</v>
      </c>
      <c r="R23" s="2" t="s">
        <v>42</v>
      </c>
      <c r="S23" s="2" t="s">
        <v>42</v>
      </c>
      <c r="T23" s="2" t="s">
        <v>42</v>
      </c>
      <c r="U23" s="2" t="s">
        <v>42</v>
      </c>
      <c r="W23" s="9">
        <v>3.0347222222222223</v>
      </c>
      <c r="AB23" s="2" t="s">
        <v>42</v>
      </c>
      <c r="AD23" s="2" t="s">
        <v>42</v>
      </c>
      <c r="AG23" s="2" t="s">
        <v>44</v>
      </c>
      <c r="AH23" s="2" t="s">
        <v>124</v>
      </c>
      <c r="AI23" s="2" t="s">
        <v>125</v>
      </c>
      <c r="AJ23" s="2" t="s">
        <v>42</v>
      </c>
      <c r="AK23" s="2" t="s">
        <v>126</v>
      </c>
      <c r="AL23" s="2" t="s">
        <v>85</v>
      </c>
      <c r="AM23" s="2" t="s">
        <v>127</v>
      </c>
      <c r="AN23" s="4" t="s">
        <v>42</v>
      </c>
      <c r="AO23" s="5" t="s">
        <v>42</v>
      </c>
      <c r="AV23" s="1">
        <v>13.1</v>
      </c>
      <c r="AX23" s="1">
        <f t="shared" si="0"/>
        <v>4.1847222222222227</v>
      </c>
    </row>
    <row r="24" spans="3:50" x14ac:dyDescent="0.25">
      <c r="C24" s="2" t="s">
        <v>42</v>
      </c>
      <c r="D24" s="4"/>
      <c r="E24" s="4"/>
      <c r="F24" s="4"/>
      <c r="G24" s="4"/>
      <c r="I24" s="2" t="s">
        <v>42</v>
      </c>
      <c r="J24" s="2" t="s">
        <v>42</v>
      </c>
      <c r="M24" s="2" t="s">
        <v>42</v>
      </c>
      <c r="N24" s="2" t="s">
        <v>42</v>
      </c>
      <c r="P24" s="2" t="s">
        <v>42</v>
      </c>
      <c r="Q24" s="2" t="s">
        <v>42</v>
      </c>
      <c r="R24" s="2" t="s">
        <v>42</v>
      </c>
      <c r="S24" s="2" t="s">
        <v>42</v>
      </c>
      <c r="T24" s="2" t="s">
        <v>42</v>
      </c>
      <c r="U24" s="2" t="s">
        <v>42</v>
      </c>
      <c r="W24" s="9">
        <v>7.4750000000000005</v>
      </c>
      <c r="AB24" s="2" t="s">
        <v>42</v>
      </c>
      <c r="AD24" s="2" t="s">
        <v>42</v>
      </c>
      <c r="AG24" s="2" t="s">
        <v>44</v>
      </c>
      <c r="AH24" s="2" t="s">
        <v>128</v>
      </c>
      <c r="AI24" s="2" t="s">
        <v>129</v>
      </c>
      <c r="AJ24" s="2" t="s">
        <v>42</v>
      </c>
      <c r="AK24" s="2" t="s">
        <v>130</v>
      </c>
      <c r="AL24" s="2" t="s">
        <v>85</v>
      </c>
      <c r="AM24" s="2" t="s">
        <v>131</v>
      </c>
      <c r="AN24" s="4" t="s">
        <v>42</v>
      </c>
      <c r="AO24" s="5" t="s">
        <v>42</v>
      </c>
      <c r="AV24" s="1">
        <v>9.3000000000000007</v>
      </c>
      <c r="AX24" s="1">
        <f t="shared" si="0"/>
        <v>2.9708333333333337</v>
      </c>
    </row>
    <row r="25" spans="3:50" x14ac:dyDescent="0.25">
      <c r="C25" s="2" t="s">
        <v>42</v>
      </c>
      <c r="D25" s="4"/>
      <c r="E25" s="4"/>
      <c r="F25" s="4"/>
      <c r="G25" s="4"/>
      <c r="I25" s="2" t="s">
        <v>42</v>
      </c>
      <c r="J25" s="2" t="s">
        <v>42</v>
      </c>
      <c r="M25" s="2" t="s">
        <v>42</v>
      </c>
      <c r="N25" s="2" t="s">
        <v>42</v>
      </c>
      <c r="P25" s="2" t="s">
        <v>42</v>
      </c>
      <c r="Q25" s="2" t="s">
        <v>42</v>
      </c>
      <c r="R25" s="2" t="s">
        <v>42</v>
      </c>
      <c r="S25" s="2" t="s">
        <v>42</v>
      </c>
      <c r="T25" s="2" t="s">
        <v>42</v>
      </c>
      <c r="U25" s="2" t="s">
        <v>42</v>
      </c>
      <c r="W25" s="9">
        <v>13.608333333333334</v>
      </c>
      <c r="AB25" s="2" t="s">
        <v>42</v>
      </c>
      <c r="AD25" s="2" t="s">
        <v>42</v>
      </c>
      <c r="AG25" s="2" t="s">
        <v>44</v>
      </c>
      <c r="AH25" s="2" t="s">
        <v>132</v>
      </c>
      <c r="AI25" s="2" t="s">
        <v>133</v>
      </c>
      <c r="AJ25" s="2" t="s">
        <v>42</v>
      </c>
      <c r="AK25" s="2" t="s">
        <v>134</v>
      </c>
      <c r="AL25" s="2" t="s">
        <v>48</v>
      </c>
      <c r="AM25" s="2" t="s">
        <v>135</v>
      </c>
      <c r="AN25" s="4" t="s">
        <v>42</v>
      </c>
      <c r="AO25" s="5" t="s">
        <v>42</v>
      </c>
      <c r="AV25" s="1">
        <v>10.5</v>
      </c>
      <c r="AX25" s="1">
        <f t="shared" si="0"/>
        <v>3.354166666666667</v>
      </c>
    </row>
    <row r="26" spans="3:50" x14ac:dyDescent="0.25">
      <c r="C26" s="2" t="s">
        <v>42</v>
      </c>
      <c r="D26" s="4"/>
      <c r="E26" s="4"/>
      <c r="F26" s="4"/>
      <c r="G26" s="4"/>
      <c r="I26" s="2" t="s">
        <v>42</v>
      </c>
      <c r="J26" s="2" t="s">
        <v>42</v>
      </c>
      <c r="M26" s="2" t="s">
        <v>42</v>
      </c>
      <c r="N26" s="2" t="s">
        <v>42</v>
      </c>
      <c r="P26" s="2" t="s">
        <v>42</v>
      </c>
      <c r="Q26" s="2" t="s">
        <v>42</v>
      </c>
      <c r="R26" s="2" t="s">
        <v>42</v>
      </c>
      <c r="S26" s="2" t="s">
        <v>42</v>
      </c>
      <c r="T26" s="2" t="s">
        <v>42</v>
      </c>
      <c r="U26" s="2" t="s">
        <v>42</v>
      </c>
      <c r="W26" s="9">
        <v>79.669444444444451</v>
      </c>
      <c r="AB26" s="2" t="s">
        <v>42</v>
      </c>
      <c r="AD26" s="2" t="s">
        <v>42</v>
      </c>
      <c r="AG26" s="2" t="s">
        <v>44</v>
      </c>
      <c r="AH26" s="2" t="s">
        <v>136</v>
      </c>
      <c r="AI26" s="2" t="s">
        <v>137</v>
      </c>
      <c r="AJ26" s="2" t="s">
        <v>42</v>
      </c>
      <c r="AK26" s="2" t="s">
        <v>138</v>
      </c>
      <c r="AL26" s="2" t="s">
        <v>85</v>
      </c>
      <c r="AM26" s="2" t="s">
        <v>139</v>
      </c>
      <c r="AN26" s="4" t="s">
        <v>42</v>
      </c>
      <c r="AO26" s="5" t="s">
        <v>42</v>
      </c>
      <c r="AV26" s="1">
        <v>9.5</v>
      </c>
      <c r="AX26" s="1">
        <f t="shared" si="0"/>
        <v>3.0347222222222223</v>
      </c>
    </row>
    <row r="27" spans="3:50" x14ac:dyDescent="0.25">
      <c r="C27" s="2" t="s">
        <v>42</v>
      </c>
      <c r="D27" s="4"/>
      <c r="E27" s="4"/>
      <c r="F27" s="4"/>
      <c r="G27" s="4"/>
      <c r="I27" s="2" t="s">
        <v>42</v>
      </c>
      <c r="J27" s="2" t="s">
        <v>42</v>
      </c>
      <c r="M27" s="2" t="s">
        <v>42</v>
      </c>
      <c r="N27" s="2" t="s">
        <v>42</v>
      </c>
      <c r="P27" s="2" t="s">
        <v>42</v>
      </c>
      <c r="Q27" s="2" t="s">
        <v>42</v>
      </c>
      <c r="R27" s="2" t="s">
        <v>42</v>
      </c>
      <c r="S27" s="2" t="s">
        <v>42</v>
      </c>
      <c r="T27" s="2" t="s">
        <v>42</v>
      </c>
      <c r="U27" s="2" t="s">
        <v>42</v>
      </c>
      <c r="W27" s="9">
        <v>5.1111111111111116</v>
      </c>
      <c r="AB27" s="2" t="s">
        <v>42</v>
      </c>
      <c r="AD27" s="2" t="s">
        <v>42</v>
      </c>
      <c r="AG27" s="2" t="s">
        <v>44</v>
      </c>
      <c r="AH27" s="2" t="s">
        <v>140</v>
      </c>
      <c r="AI27" s="2" t="s">
        <v>141</v>
      </c>
      <c r="AJ27" s="2" t="s">
        <v>42</v>
      </c>
      <c r="AK27" s="2" t="s">
        <v>142</v>
      </c>
      <c r="AL27" s="2" t="s">
        <v>48</v>
      </c>
      <c r="AM27" s="2" t="s">
        <v>143</v>
      </c>
      <c r="AN27" s="4" t="s">
        <v>42</v>
      </c>
      <c r="AO27" s="5" t="s">
        <v>42</v>
      </c>
      <c r="AV27" s="1">
        <v>23.4</v>
      </c>
      <c r="AX27" s="1">
        <f t="shared" si="0"/>
        <v>7.4750000000000005</v>
      </c>
    </row>
    <row r="28" spans="3:50" x14ac:dyDescent="0.25">
      <c r="C28" s="2" t="s">
        <v>42</v>
      </c>
      <c r="D28" s="4"/>
      <c r="E28" s="4"/>
      <c r="F28" s="4"/>
      <c r="G28" s="4"/>
      <c r="I28" s="2" t="s">
        <v>42</v>
      </c>
      <c r="J28" s="2" t="s">
        <v>42</v>
      </c>
      <c r="M28" s="2" t="s">
        <v>42</v>
      </c>
      <c r="N28" s="2" t="s">
        <v>42</v>
      </c>
      <c r="P28" s="2" t="s">
        <v>42</v>
      </c>
      <c r="Q28" s="2" t="s">
        <v>42</v>
      </c>
      <c r="R28" s="2" t="s">
        <v>42</v>
      </c>
      <c r="S28" s="2" t="s">
        <v>42</v>
      </c>
      <c r="T28" s="2" t="s">
        <v>42</v>
      </c>
      <c r="U28" s="2" t="s">
        <v>42</v>
      </c>
      <c r="W28" s="9">
        <v>14.534722222222223</v>
      </c>
      <c r="AB28" s="2" t="s">
        <v>42</v>
      </c>
      <c r="AD28" s="2" t="s">
        <v>42</v>
      </c>
      <c r="AG28" s="2" t="s">
        <v>44</v>
      </c>
      <c r="AH28" s="2" t="s">
        <v>144</v>
      </c>
      <c r="AI28" s="2" t="s">
        <v>145</v>
      </c>
      <c r="AJ28" s="2" t="s">
        <v>42</v>
      </c>
      <c r="AK28" s="2" t="s">
        <v>146</v>
      </c>
      <c r="AL28" s="2" t="s">
        <v>48</v>
      </c>
      <c r="AM28" s="2" t="s">
        <v>147</v>
      </c>
      <c r="AN28" s="4" t="s">
        <v>42</v>
      </c>
      <c r="AO28" s="5" t="s">
        <v>42</v>
      </c>
      <c r="AV28" s="1">
        <v>42.6</v>
      </c>
      <c r="AX28" s="1">
        <f t="shared" si="0"/>
        <v>13.608333333333334</v>
      </c>
    </row>
    <row r="29" spans="3:50" x14ac:dyDescent="0.25">
      <c r="C29" s="2" t="s">
        <v>42</v>
      </c>
      <c r="D29" s="4"/>
      <c r="E29" s="4"/>
      <c r="F29" s="4"/>
      <c r="G29" s="4"/>
      <c r="I29" s="2" t="s">
        <v>42</v>
      </c>
      <c r="J29" s="2" t="s">
        <v>42</v>
      </c>
      <c r="M29" s="2" t="s">
        <v>42</v>
      </c>
      <c r="N29" s="2" t="s">
        <v>42</v>
      </c>
      <c r="P29" s="2" t="s">
        <v>42</v>
      </c>
      <c r="Q29" s="2" t="s">
        <v>42</v>
      </c>
      <c r="R29" s="2" t="s">
        <v>42</v>
      </c>
      <c r="S29" s="2" t="s">
        <v>42</v>
      </c>
      <c r="T29" s="2" t="s">
        <v>42</v>
      </c>
      <c r="U29" s="2" t="s">
        <v>42</v>
      </c>
      <c r="W29" s="9">
        <v>5.5583333333333336</v>
      </c>
      <c r="AB29" s="2" t="s">
        <v>42</v>
      </c>
      <c r="AD29" s="2" t="s">
        <v>42</v>
      </c>
      <c r="AG29" s="2" t="s">
        <v>44</v>
      </c>
      <c r="AH29" s="2" t="s">
        <v>148</v>
      </c>
      <c r="AI29" s="2" t="s">
        <v>149</v>
      </c>
      <c r="AJ29" s="2" t="s">
        <v>42</v>
      </c>
      <c r="AK29" s="2" t="s">
        <v>150</v>
      </c>
      <c r="AL29" s="2" t="s">
        <v>122</v>
      </c>
      <c r="AM29" s="2" t="s">
        <v>151</v>
      </c>
      <c r="AN29" s="4" t="s">
        <v>42</v>
      </c>
      <c r="AO29" s="5" t="s">
        <v>42</v>
      </c>
      <c r="AV29" s="1">
        <v>249.4</v>
      </c>
      <c r="AX29" s="1">
        <f t="shared" si="0"/>
        <v>79.669444444444451</v>
      </c>
    </row>
    <row r="30" spans="3:50" x14ac:dyDescent="0.25">
      <c r="C30" s="2" t="s">
        <v>42</v>
      </c>
      <c r="D30" s="4"/>
      <c r="E30" s="4"/>
      <c r="F30" s="4"/>
      <c r="G30" s="4"/>
      <c r="I30" s="2" t="s">
        <v>42</v>
      </c>
      <c r="J30" s="2" t="s">
        <v>42</v>
      </c>
      <c r="M30" s="2" t="s">
        <v>42</v>
      </c>
      <c r="N30" s="2" t="s">
        <v>42</v>
      </c>
      <c r="P30" s="2" t="s">
        <v>42</v>
      </c>
      <c r="Q30" s="2" t="s">
        <v>42</v>
      </c>
      <c r="R30" s="2" t="s">
        <v>42</v>
      </c>
      <c r="S30" s="2" t="s">
        <v>42</v>
      </c>
      <c r="T30" s="2" t="s">
        <v>42</v>
      </c>
      <c r="U30" s="2" t="s">
        <v>42</v>
      </c>
      <c r="W30" s="9">
        <v>17.186111111111114</v>
      </c>
      <c r="AB30" s="2" t="s">
        <v>42</v>
      </c>
      <c r="AD30" s="2" t="s">
        <v>42</v>
      </c>
      <c r="AG30" s="2" t="s">
        <v>44</v>
      </c>
      <c r="AH30" s="2" t="s">
        <v>152</v>
      </c>
      <c r="AI30" s="2" t="s">
        <v>153</v>
      </c>
      <c r="AJ30" s="2" t="s">
        <v>42</v>
      </c>
      <c r="AK30" s="2" t="s">
        <v>154</v>
      </c>
      <c r="AL30" s="2" t="s">
        <v>48</v>
      </c>
      <c r="AM30" s="2" t="s">
        <v>155</v>
      </c>
      <c r="AN30" s="4" t="s">
        <v>42</v>
      </c>
      <c r="AO30" s="5" t="s">
        <v>42</v>
      </c>
      <c r="AV30" s="1">
        <v>16</v>
      </c>
      <c r="AX30" s="1">
        <f t="shared" si="0"/>
        <v>5.1111111111111116</v>
      </c>
    </row>
    <row r="31" spans="3:50" x14ac:dyDescent="0.25">
      <c r="C31" s="2" t="s">
        <v>42</v>
      </c>
      <c r="D31" s="4"/>
      <c r="E31" s="4"/>
      <c r="F31" s="4"/>
      <c r="G31" s="4"/>
      <c r="I31" s="2" t="s">
        <v>42</v>
      </c>
      <c r="J31" s="2" t="s">
        <v>42</v>
      </c>
      <c r="M31" s="2" t="s">
        <v>42</v>
      </c>
      <c r="N31" s="2" t="s">
        <v>42</v>
      </c>
      <c r="P31" s="2" t="s">
        <v>42</v>
      </c>
      <c r="Q31" s="2" t="s">
        <v>42</v>
      </c>
      <c r="R31" s="2" t="s">
        <v>42</v>
      </c>
      <c r="S31" s="2" t="s">
        <v>42</v>
      </c>
      <c r="T31" s="2" t="s">
        <v>42</v>
      </c>
      <c r="U31" s="2" t="s">
        <v>42</v>
      </c>
      <c r="W31" s="9">
        <v>10.701388888888889</v>
      </c>
      <c r="AB31" s="2" t="s">
        <v>42</v>
      </c>
      <c r="AD31" s="2" t="s">
        <v>42</v>
      </c>
      <c r="AG31" s="2" t="s">
        <v>44</v>
      </c>
      <c r="AH31" s="2" t="s">
        <v>156</v>
      </c>
      <c r="AI31" s="2" t="s">
        <v>157</v>
      </c>
      <c r="AJ31" s="2" t="s">
        <v>42</v>
      </c>
      <c r="AK31" s="2" t="s">
        <v>158</v>
      </c>
      <c r="AL31" s="2" t="s">
        <v>85</v>
      </c>
      <c r="AM31" s="2" t="s">
        <v>159</v>
      </c>
      <c r="AN31" s="4" t="s">
        <v>42</v>
      </c>
      <c r="AO31" s="5" t="s">
        <v>42</v>
      </c>
      <c r="AV31" s="1">
        <v>45.5</v>
      </c>
      <c r="AX31" s="1">
        <f t="shared" si="0"/>
        <v>14.534722222222223</v>
      </c>
    </row>
    <row r="32" spans="3:50" x14ac:dyDescent="0.25">
      <c r="C32" s="2" t="s">
        <v>42</v>
      </c>
      <c r="D32" s="4"/>
      <c r="E32" s="4"/>
      <c r="F32" s="4"/>
      <c r="G32" s="4"/>
      <c r="I32" s="2" t="s">
        <v>42</v>
      </c>
      <c r="J32" s="2" t="s">
        <v>42</v>
      </c>
      <c r="M32" s="2" t="s">
        <v>42</v>
      </c>
      <c r="N32" s="2" t="s">
        <v>42</v>
      </c>
      <c r="P32" s="2" t="s">
        <v>42</v>
      </c>
      <c r="Q32" s="2" t="s">
        <v>42</v>
      </c>
      <c r="R32" s="2" t="s">
        <v>42</v>
      </c>
      <c r="S32" s="2" t="s">
        <v>42</v>
      </c>
      <c r="T32" s="2" t="s">
        <v>42</v>
      </c>
      <c r="U32" s="2" t="s">
        <v>42</v>
      </c>
      <c r="W32" s="9">
        <v>2.2680555555555557</v>
      </c>
      <c r="AB32" s="2" t="s">
        <v>42</v>
      </c>
      <c r="AD32" s="2" t="s">
        <v>42</v>
      </c>
      <c r="AG32" s="2" t="s">
        <v>44</v>
      </c>
      <c r="AH32" s="2" t="s">
        <v>160</v>
      </c>
      <c r="AI32" s="2" t="s">
        <v>161</v>
      </c>
      <c r="AJ32" s="2" t="s">
        <v>42</v>
      </c>
      <c r="AK32" s="2" t="s">
        <v>162</v>
      </c>
      <c r="AL32" s="2" t="s">
        <v>48</v>
      </c>
      <c r="AM32" s="2" t="s">
        <v>163</v>
      </c>
      <c r="AN32" s="4" t="s">
        <v>42</v>
      </c>
      <c r="AO32" s="5" t="s">
        <v>42</v>
      </c>
      <c r="AV32" s="1">
        <v>17.399999999999999</v>
      </c>
      <c r="AX32" s="1">
        <f t="shared" si="0"/>
        <v>5.5583333333333336</v>
      </c>
    </row>
    <row r="33" spans="3:50" x14ac:dyDescent="0.25">
      <c r="C33" s="2" t="s">
        <v>42</v>
      </c>
      <c r="D33" s="4"/>
      <c r="E33" s="4"/>
      <c r="F33" s="4"/>
      <c r="G33" s="4"/>
      <c r="I33" s="2" t="s">
        <v>42</v>
      </c>
      <c r="J33" s="2" t="s">
        <v>42</v>
      </c>
      <c r="M33" s="2" t="s">
        <v>42</v>
      </c>
      <c r="N33" s="2" t="s">
        <v>42</v>
      </c>
      <c r="P33" s="2" t="s">
        <v>42</v>
      </c>
      <c r="Q33" s="2" t="s">
        <v>42</v>
      </c>
      <c r="R33" s="2" t="s">
        <v>42</v>
      </c>
      <c r="S33" s="2" t="s">
        <v>42</v>
      </c>
      <c r="T33" s="2" t="s">
        <v>42</v>
      </c>
      <c r="U33" s="2" t="s">
        <v>42</v>
      </c>
      <c r="W33" s="9">
        <v>2.5555555555555558</v>
      </c>
      <c r="AB33" s="2" t="s">
        <v>42</v>
      </c>
      <c r="AD33" s="2" t="s">
        <v>42</v>
      </c>
      <c r="AG33" s="2" t="s">
        <v>44</v>
      </c>
      <c r="AH33" s="2" t="s">
        <v>164</v>
      </c>
      <c r="AI33" s="2" t="s">
        <v>165</v>
      </c>
      <c r="AJ33" s="2" t="s">
        <v>42</v>
      </c>
      <c r="AK33" s="2" t="s">
        <v>166</v>
      </c>
      <c r="AL33" s="2" t="s">
        <v>48</v>
      </c>
      <c r="AM33" s="2" t="s">
        <v>167</v>
      </c>
      <c r="AN33" s="4" t="s">
        <v>42</v>
      </c>
      <c r="AO33" s="5" t="s">
        <v>42</v>
      </c>
      <c r="AV33" s="1">
        <v>53.8</v>
      </c>
      <c r="AX33" s="1">
        <f t="shared" si="0"/>
        <v>17.186111111111114</v>
      </c>
    </row>
    <row r="34" spans="3:50" x14ac:dyDescent="0.25">
      <c r="C34" s="2" t="s">
        <v>42</v>
      </c>
      <c r="D34" s="4"/>
      <c r="E34" s="4"/>
      <c r="F34" s="4"/>
      <c r="G34" s="4"/>
      <c r="I34" s="2" t="s">
        <v>42</v>
      </c>
      <c r="J34" s="2" t="s">
        <v>42</v>
      </c>
      <c r="M34" s="2" t="s">
        <v>42</v>
      </c>
      <c r="N34" s="2" t="s">
        <v>42</v>
      </c>
      <c r="P34" s="2" t="s">
        <v>42</v>
      </c>
      <c r="Q34" s="2" t="s">
        <v>42</v>
      </c>
      <c r="R34" s="2" t="s">
        <v>42</v>
      </c>
      <c r="S34" s="2" t="s">
        <v>42</v>
      </c>
      <c r="T34" s="2" t="s">
        <v>42</v>
      </c>
      <c r="U34" s="2" t="s">
        <v>42</v>
      </c>
      <c r="W34" s="9">
        <v>5.1430555555555566</v>
      </c>
      <c r="AB34" s="2" t="s">
        <v>42</v>
      </c>
      <c r="AD34" s="2" t="s">
        <v>42</v>
      </c>
      <c r="AG34" s="2" t="s">
        <v>44</v>
      </c>
      <c r="AH34" s="2" t="s">
        <v>168</v>
      </c>
      <c r="AI34" s="2" t="s">
        <v>169</v>
      </c>
      <c r="AJ34" s="2" t="s">
        <v>42</v>
      </c>
      <c r="AK34" s="2" t="s">
        <v>170</v>
      </c>
      <c r="AL34" s="2" t="s">
        <v>85</v>
      </c>
      <c r="AM34" s="2" t="s">
        <v>171</v>
      </c>
      <c r="AN34" s="4" t="s">
        <v>42</v>
      </c>
      <c r="AO34" s="5" t="s">
        <v>42</v>
      </c>
      <c r="AV34" s="1">
        <v>33.5</v>
      </c>
      <c r="AX34" s="1">
        <f t="shared" si="0"/>
        <v>10.701388888888889</v>
      </c>
    </row>
    <row r="35" spans="3:50" x14ac:dyDescent="0.25">
      <c r="C35" s="2" t="s">
        <v>42</v>
      </c>
      <c r="D35" s="4"/>
      <c r="E35" s="4"/>
      <c r="F35" s="4"/>
      <c r="G35" s="4"/>
      <c r="I35" s="2" t="s">
        <v>42</v>
      </c>
      <c r="J35" s="2" t="s">
        <v>42</v>
      </c>
      <c r="M35" s="2" t="s">
        <v>42</v>
      </c>
      <c r="N35" s="2" t="s">
        <v>42</v>
      </c>
      <c r="P35" s="2" t="s">
        <v>42</v>
      </c>
      <c r="Q35" s="2" t="s">
        <v>42</v>
      </c>
      <c r="R35" s="2" t="s">
        <v>42</v>
      </c>
      <c r="S35" s="2" t="s">
        <v>42</v>
      </c>
      <c r="T35" s="2" t="s">
        <v>42</v>
      </c>
      <c r="U35" s="2" t="s">
        <v>42</v>
      </c>
      <c r="W35" s="9">
        <v>12.554166666666667</v>
      </c>
      <c r="AB35" s="2" t="s">
        <v>42</v>
      </c>
      <c r="AD35" s="2" t="s">
        <v>42</v>
      </c>
      <c r="AG35" s="2" t="s">
        <v>44</v>
      </c>
      <c r="AH35" s="2" t="s">
        <v>172</v>
      </c>
      <c r="AI35" s="2" t="s">
        <v>173</v>
      </c>
      <c r="AJ35" s="2" t="s">
        <v>42</v>
      </c>
      <c r="AK35" s="2" t="s">
        <v>174</v>
      </c>
      <c r="AL35" s="2" t="s">
        <v>48</v>
      </c>
      <c r="AM35" s="2" t="s">
        <v>175</v>
      </c>
      <c r="AN35" s="4" t="s">
        <v>42</v>
      </c>
      <c r="AO35" s="5" t="s">
        <v>42</v>
      </c>
      <c r="AV35" s="1">
        <v>7.1</v>
      </c>
      <c r="AX35" s="1">
        <f t="shared" si="0"/>
        <v>2.2680555555555557</v>
      </c>
    </row>
    <row r="36" spans="3:50" x14ac:dyDescent="0.25">
      <c r="C36" s="2" t="s">
        <v>42</v>
      </c>
      <c r="D36" s="4"/>
      <c r="E36" s="4"/>
      <c r="F36" s="4"/>
      <c r="G36" s="4"/>
      <c r="I36" s="2" t="s">
        <v>42</v>
      </c>
      <c r="J36" s="2" t="s">
        <v>42</v>
      </c>
      <c r="M36" s="2" t="s">
        <v>42</v>
      </c>
      <c r="N36" s="2" t="s">
        <v>42</v>
      </c>
      <c r="P36" s="2" t="s">
        <v>42</v>
      </c>
      <c r="Q36" s="2" t="s">
        <v>42</v>
      </c>
      <c r="R36" s="2" t="s">
        <v>42</v>
      </c>
      <c r="S36" s="2" t="s">
        <v>42</v>
      </c>
      <c r="T36" s="2" t="s">
        <v>42</v>
      </c>
      <c r="U36" s="2" t="s">
        <v>42</v>
      </c>
      <c r="W36" s="9">
        <v>3.865277777777778</v>
      </c>
      <c r="AB36" s="2" t="s">
        <v>42</v>
      </c>
      <c r="AD36" s="2" t="s">
        <v>42</v>
      </c>
      <c r="AG36" s="2" t="s">
        <v>44</v>
      </c>
      <c r="AH36" s="2" t="s">
        <v>176</v>
      </c>
      <c r="AI36" s="2" t="s">
        <v>177</v>
      </c>
      <c r="AJ36" s="2" t="s">
        <v>42</v>
      </c>
      <c r="AK36" s="2" t="s">
        <v>178</v>
      </c>
      <c r="AL36" s="2" t="s">
        <v>48</v>
      </c>
      <c r="AM36" s="2" t="s">
        <v>179</v>
      </c>
      <c r="AN36" s="4" t="s">
        <v>42</v>
      </c>
      <c r="AO36" s="5" t="s">
        <v>42</v>
      </c>
      <c r="AV36" s="1">
        <v>8</v>
      </c>
      <c r="AX36" s="1">
        <f t="shared" si="0"/>
        <v>2.5555555555555558</v>
      </c>
    </row>
    <row r="37" spans="3:50" x14ac:dyDescent="0.25">
      <c r="C37" s="2" t="s">
        <v>42</v>
      </c>
      <c r="D37" s="4"/>
      <c r="E37" s="4"/>
      <c r="F37" s="4"/>
      <c r="G37" s="4"/>
      <c r="I37" s="2" t="s">
        <v>42</v>
      </c>
      <c r="J37" s="2" t="s">
        <v>42</v>
      </c>
      <c r="M37" s="2" t="s">
        <v>42</v>
      </c>
      <c r="N37" s="2" t="s">
        <v>42</v>
      </c>
      <c r="P37" s="2" t="s">
        <v>42</v>
      </c>
      <c r="Q37" s="2" t="s">
        <v>42</v>
      </c>
      <c r="R37" s="2" t="s">
        <v>42</v>
      </c>
      <c r="S37" s="2" t="s">
        <v>42</v>
      </c>
      <c r="T37" s="2" t="s">
        <v>42</v>
      </c>
      <c r="U37" s="2" t="s">
        <v>42</v>
      </c>
      <c r="W37" s="9">
        <v>12.011111111111113</v>
      </c>
      <c r="AB37" s="2" t="s">
        <v>42</v>
      </c>
      <c r="AD37" s="2" t="s">
        <v>42</v>
      </c>
      <c r="AG37" s="2" t="s">
        <v>44</v>
      </c>
      <c r="AH37" s="2" t="s">
        <v>180</v>
      </c>
      <c r="AI37" s="2" t="s">
        <v>181</v>
      </c>
      <c r="AJ37" s="2" t="s">
        <v>42</v>
      </c>
      <c r="AK37" s="2" t="s">
        <v>182</v>
      </c>
      <c r="AL37" s="2" t="s">
        <v>85</v>
      </c>
      <c r="AM37" s="2" t="s">
        <v>183</v>
      </c>
      <c r="AN37" s="4" t="s">
        <v>42</v>
      </c>
      <c r="AO37" s="5" t="s">
        <v>42</v>
      </c>
      <c r="AV37" s="1">
        <v>16.100000000000001</v>
      </c>
      <c r="AX37" s="1">
        <f t="shared" si="0"/>
        <v>5.1430555555555566</v>
      </c>
    </row>
    <row r="38" spans="3:50" x14ac:dyDescent="0.25">
      <c r="C38" s="2" t="s">
        <v>42</v>
      </c>
      <c r="D38" s="4"/>
      <c r="E38" s="4"/>
      <c r="F38" s="4"/>
      <c r="G38" s="4"/>
      <c r="I38" s="2" t="s">
        <v>42</v>
      </c>
      <c r="J38" s="2" t="s">
        <v>42</v>
      </c>
      <c r="M38" s="2" t="s">
        <v>42</v>
      </c>
      <c r="N38" s="2" t="s">
        <v>42</v>
      </c>
      <c r="P38" s="2" t="s">
        <v>42</v>
      </c>
      <c r="Q38" s="2" t="s">
        <v>42</v>
      </c>
      <c r="R38" s="2" t="s">
        <v>42</v>
      </c>
      <c r="S38" s="2" t="s">
        <v>42</v>
      </c>
      <c r="T38" s="2" t="s">
        <v>42</v>
      </c>
      <c r="U38" s="2" t="s">
        <v>42</v>
      </c>
      <c r="W38" s="9">
        <v>4.0888888888888895</v>
      </c>
      <c r="AB38" s="2" t="s">
        <v>42</v>
      </c>
      <c r="AD38" s="2" t="s">
        <v>42</v>
      </c>
      <c r="AG38" s="2" t="s">
        <v>44</v>
      </c>
      <c r="AH38" s="2" t="s">
        <v>184</v>
      </c>
      <c r="AI38" s="2" t="s">
        <v>185</v>
      </c>
      <c r="AJ38" s="2" t="s">
        <v>42</v>
      </c>
      <c r="AK38" s="2" t="s">
        <v>186</v>
      </c>
      <c r="AL38" s="2" t="s">
        <v>85</v>
      </c>
      <c r="AM38" s="2" t="s">
        <v>187</v>
      </c>
      <c r="AN38" s="4" t="s">
        <v>42</v>
      </c>
      <c r="AO38" s="5" t="s">
        <v>42</v>
      </c>
      <c r="AV38" s="1">
        <v>39.299999999999997</v>
      </c>
      <c r="AX38" s="1">
        <f t="shared" si="0"/>
        <v>12.554166666666667</v>
      </c>
    </row>
    <row r="39" spans="3:50" x14ac:dyDescent="0.25">
      <c r="C39" s="2" t="s">
        <v>42</v>
      </c>
      <c r="D39" s="4"/>
      <c r="E39" s="4"/>
      <c r="F39" s="4"/>
      <c r="G39" s="4"/>
      <c r="I39" s="2" t="s">
        <v>42</v>
      </c>
      <c r="J39" s="2" t="s">
        <v>42</v>
      </c>
      <c r="M39" s="2" t="s">
        <v>42</v>
      </c>
      <c r="N39" s="2" t="s">
        <v>42</v>
      </c>
      <c r="P39" s="2" t="s">
        <v>42</v>
      </c>
      <c r="Q39" s="2" t="s">
        <v>42</v>
      </c>
      <c r="R39" s="2" t="s">
        <v>42</v>
      </c>
      <c r="S39" s="2" t="s">
        <v>42</v>
      </c>
      <c r="T39" s="2" t="s">
        <v>42</v>
      </c>
      <c r="U39" s="2" t="s">
        <v>42</v>
      </c>
      <c r="W39" s="9">
        <v>2.0444444444444447</v>
      </c>
      <c r="AB39" s="2" t="s">
        <v>42</v>
      </c>
      <c r="AD39" s="2" t="s">
        <v>42</v>
      </c>
      <c r="AG39" s="2" t="s">
        <v>44</v>
      </c>
      <c r="AH39" s="2" t="s">
        <v>188</v>
      </c>
      <c r="AI39" s="2" t="s">
        <v>189</v>
      </c>
      <c r="AJ39" s="2" t="s">
        <v>42</v>
      </c>
      <c r="AK39" s="2" t="s">
        <v>190</v>
      </c>
      <c r="AL39" s="2" t="s">
        <v>48</v>
      </c>
      <c r="AM39" s="2" t="s">
        <v>191</v>
      </c>
      <c r="AN39" s="4" t="s">
        <v>42</v>
      </c>
      <c r="AO39" s="5" t="s">
        <v>42</v>
      </c>
      <c r="AV39" s="1">
        <v>12.1</v>
      </c>
      <c r="AX39" s="1">
        <f t="shared" si="0"/>
        <v>3.865277777777778</v>
      </c>
    </row>
    <row r="40" spans="3:50" x14ac:dyDescent="0.25">
      <c r="C40" s="2" t="s">
        <v>42</v>
      </c>
      <c r="D40" s="4"/>
      <c r="E40" s="4"/>
      <c r="F40" s="4"/>
      <c r="G40" s="4"/>
      <c r="I40" s="2" t="s">
        <v>42</v>
      </c>
      <c r="J40" s="2" t="s">
        <v>42</v>
      </c>
      <c r="M40" s="2" t="s">
        <v>42</v>
      </c>
      <c r="N40" s="2" t="s">
        <v>42</v>
      </c>
      <c r="P40" s="2" t="s">
        <v>42</v>
      </c>
      <c r="Q40" s="2" t="s">
        <v>42</v>
      </c>
      <c r="R40" s="2" t="s">
        <v>42</v>
      </c>
      <c r="S40" s="2" t="s">
        <v>42</v>
      </c>
      <c r="T40" s="2" t="s">
        <v>42</v>
      </c>
      <c r="U40" s="2" t="s">
        <v>42</v>
      </c>
      <c r="W40" s="9">
        <v>7.7305555555555561</v>
      </c>
      <c r="AB40" s="2" t="s">
        <v>42</v>
      </c>
      <c r="AD40" s="2" t="s">
        <v>42</v>
      </c>
      <c r="AG40" s="2" t="s">
        <v>44</v>
      </c>
      <c r="AH40" s="2" t="s">
        <v>192</v>
      </c>
      <c r="AI40" s="2" t="s">
        <v>193</v>
      </c>
      <c r="AJ40" s="2" t="s">
        <v>42</v>
      </c>
      <c r="AK40" s="2" t="s">
        <v>194</v>
      </c>
      <c r="AL40" s="2" t="s">
        <v>85</v>
      </c>
      <c r="AM40" s="2" t="s">
        <v>195</v>
      </c>
      <c r="AN40" s="4" t="s">
        <v>42</v>
      </c>
      <c r="AO40" s="5" t="s">
        <v>42</v>
      </c>
      <c r="AV40" s="1">
        <v>37.6</v>
      </c>
      <c r="AX40" s="1">
        <f t="shared" si="0"/>
        <v>12.011111111111113</v>
      </c>
    </row>
    <row r="41" spans="3:50" x14ac:dyDescent="0.25">
      <c r="C41" s="2" t="s">
        <v>42</v>
      </c>
      <c r="D41" s="4"/>
      <c r="E41" s="4"/>
      <c r="F41" s="4"/>
      <c r="G41" s="4"/>
      <c r="I41" s="2" t="s">
        <v>42</v>
      </c>
      <c r="J41" s="2" t="s">
        <v>42</v>
      </c>
      <c r="M41" s="2" t="s">
        <v>42</v>
      </c>
      <c r="N41" s="2" t="s">
        <v>42</v>
      </c>
      <c r="P41" s="2" t="s">
        <v>42</v>
      </c>
      <c r="Q41" s="2" t="s">
        <v>42</v>
      </c>
      <c r="R41" s="2" t="s">
        <v>42</v>
      </c>
      <c r="S41" s="2" t="s">
        <v>42</v>
      </c>
      <c r="T41" s="2" t="s">
        <v>42</v>
      </c>
      <c r="U41" s="2" t="s">
        <v>42</v>
      </c>
      <c r="W41" s="9">
        <v>17.729166666666668</v>
      </c>
      <c r="AB41" s="2" t="s">
        <v>42</v>
      </c>
      <c r="AD41" s="2" t="s">
        <v>42</v>
      </c>
      <c r="AG41" s="2" t="s">
        <v>44</v>
      </c>
      <c r="AH41" s="2" t="s">
        <v>196</v>
      </c>
      <c r="AI41" s="2" t="s">
        <v>197</v>
      </c>
      <c r="AJ41" s="2" t="s">
        <v>42</v>
      </c>
      <c r="AK41" s="2" t="s">
        <v>198</v>
      </c>
      <c r="AL41" s="2" t="s">
        <v>85</v>
      </c>
      <c r="AM41" s="2" t="s">
        <v>199</v>
      </c>
      <c r="AN41" s="4" t="s">
        <v>42</v>
      </c>
      <c r="AO41" s="5" t="s">
        <v>42</v>
      </c>
      <c r="AV41" s="1">
        <v>12.8</v>
      </c>
      <c r="AX41" s="1">
        <f t="shared" si="0"/>
        <v>4.0888888888888895</v>
      </c>
    </row>
    <row r="42" spans="3:50" x14ac:dyDescent="0.25">
      <c r="C42" s="2" t="s">
        <v>42</v>
      </c>
      <c r="D42" s="4"/>
      <c r="E42" s="4"/>
      <c r="F42" s="4"/>
      <c r="G42" s="4"/>
      <c r="I42" s="2" t="s">
        <v>42</v>
      </c>
      <c r="J42" s="2" t="s">
        <v>42</v>
      </c>
      <c r="M42" s="2" t="s">
        <v>42</v>
      </c>
      <c r="N42" s="2" t="s">
        <v>42</v>
      </c>
      <c r="P42" s="2" t="s">
        <v>42</v>
      </c>
      <c r="Q42" s="2" t="s">
        <v>42</v>
      </c>
      <c r="R42" s="2" t="s">
        <v>42</v>
      </c>
      <c r="S42" s="2" t="s">
        <v>42</v>
      </c>
      <c r="T42" s="2" t="s">
        <v>42</v>
      </c>
      <c r="U42" s="2" t="s">
        <v>42</v>
      </c>
      <c r="W42" s="9">
        <v>9.1680555555555561</v>
      </c>
      <c r="AB42" s="2" t="s">
        <v>42</v>
      </c>
      <c r="AD42" s="2" t="s">
        <v>42</v>
      </c>
      <c r="AG42" s="2" t="s">
        <v>44</v>
      </c>
      <c r="AH42" s="2" t="s">
        <v>200</v>
      </c>
      <c r="AI42" s="2" t="s">
        <v>201</v>
      </c>
      <c r="AJ42" s="2" t="s">
        <v>42</v>
      </c>
      <c r="AK42" s="2" t="s">
        <v>202</v>
      </c>
      <c r="AL42" s="2" t="s">
        <v>48</v>
      </c>
      <c r="AM42" s="2" t="s">
        <v>203</v>
      </c>
      <c r="AN42" s="4" t="s">
        <v>42</v>
      </c>
      <c r="AO42" s="5" t="s">
        <v>42</v>
      </c>
      <c r="AV42" s="1">
        <v>6.4</v>
      </c>
      <c r="AX42" s="1">
        <f t="shared" si="0"/>
        <v>2.0444444444444447</v>
      </c>
    </row>
    <row r="43" spans="3:50" x14ac:dyDescent="0.25">
      <c r="C43" s="2" t="s">
        <v>42</v>
      </c>
      <c r="D43" s="4"/>
      <c r="E43" s="4"/>
      <c r="F43" s="4"/>
      <c r="G43" s="4"/>
      <c r="I43" s="2" t="s">
        <v>42</v>
      </c>
      <c r="J43" s="2" t="s">
        <v>42</v>
      </c>
      <c r="M43" s="2" t="s">
        <v>42</v>
      </c>
      <c r="N43" s="2" t="s">
        <v>42</v>
      </c>
      <c r="P43" s="2" t="s">
        <v>42</v>
      </c>
      <c r="Q43" s="2" t="s">
        <v>42</v>
      </c>
      <c r="R43" s="2" t="s">
        <v>42</v>
      </c>
      <c r="S43" s="2" t="s">
        <v>42</v>
      </c>
      <c r="T43" s="2" t="s">
        <v>42</v>
      </c>
      <c r="U43" s="2" t="s">
        <v>42</v>
      </c>
      <c r="W43" s="9">
        <v>1.916666666666667</v>
      </c>
      <c r="AB43" s="2" t="s">
        <v>42</v>
      </c>
      <c r="AD43" s="2" t="s">
        <v>42</v>
      </c>
      <c r="AG43" s="2" t="s">
        <v>44</v>
      </c>
      <c r="AH43" s="2" t="s">
        <v>204</v>
      </c>
      <c r="AI43" s="2" t="s">
        <v>205</v>
      </c>
      <c r="AJ43" s="2" t="s">
        <v>42</v>
      </c>
      <c r="AK43" s="2" t="s">
        <v>206</v>
      </c>
      <c r="AL43" s="2" t="s">
        <v>48</v>
      </c>
      <c r="AM43" s="2" t="s">
        <v>207</v>
      </c>
      <c r="AN43" s="4" t="s">
        <v>42</v>
      </c>
      <c r="AO43" s="5" t="s">
        <v>42</v>
      </c>
      <c r="AV43" s="1">
        <v>24.2</v>
      </c>
      <c r="AX43" s="1">
        <f t="shared" si="0"/>
        <v>7.7305555555555561</v>
      </c>
    </row>
    <row r="44" spans="3:50" x14ac:dyDescent="0.25">
      <c r="C44" s="2" t="s">
        <v>42</v>
      </c>
      <c r="D44" s="4"/>
      <c r="E44" s="4"/>
      <c r="F44" s="4"/>
      <c r="G44" s="4"/>
      <c r="I44" s="2" t="s">
        <v>42</v>
      </c>
      <c r="J44" s="2" t="s">
        <v>42</v>
      </c>
      <c r="M44" s="2" t="s">
        <v>42</v>
      </c>
      <c r="N44" s="2" t="s">
        <v>42</v>
      </c>
      <c r="P44" s="2" t="s">
        <v>42</v>
      </c>
      <c r="Q44" s="2" t="s">
        <v>42</v>
      </c>
      <c r="R44" s="2" t="s">
        <v>42</v>
      </c>
      <c r="S44" s="2" t="s">
        <v>42</v>
      </c>
      <c r="T44" s="2" t="s">
        <v>42</v>
      </c>
      <c r="U44" s="2" t="s">
        <v>42</v>
      </c>
      <c r="W44" s="9">
        <v>5.6861111111111118</v>
      </c>
      <c r="AB44" s="2" t="s">
        <v>42</v>
      </c>
      <c r="AD44" s="2" t="s">
        <v>42</v>
      </c>
      <c r="AG44" s="2" t="s">
        <v>44</v>
      </c>
      <c r="AH44" s="2" t="s">
        <v>208</v>
      </c>
      <c r="AI44" s="2" t="s">
        <v>209</v>
      </c>
      <c r="AJ44" s="2" t="s">
        <v>42</v>
      </c>
      <c r="AK44" s="2" t="s">
        <v>210</v>
      </c>
      <c r="AL44" s="2" t="s">
        <v>85</v>
      </c>
      <c r="AM44" s="2" t="s">
        <v>211</v>
      </c>
      <c r="AN44" s="4" t="s">
        <v>42</v>
      </c>
      <c r="AO44" s="5" t="s">
        <v>42</v>
      </c>
      <c r="AV44" s="1">
        <v>55.5</v>
      </c>
      <c r="AX44" s="1">
        <f t="shared" si="0"/>
        <v>17.729166666666668</v>
      </c>
    </row>
    <row r="45" spans="3:50" x14ac:dyDescent="0.25">
      <c r="C45" s="2" t="s">
        <v>42</v>
      </c>
      <c r="D45" s="4"/>
      <c r="E45" s="4"/>
      <c r="F45" s="4"/>
      <c r="G45" s="4"/>
      <c r="I45" s="2" t="s">
        <v>42</v>
      </c>
      <c r="J45" s="2" t="s">
        <v>42</v>
      </c>
      <c r="M45" s="2" t="s">
        <v>42</v>
      </c>
      <c r="N45" s="2" t="s">
        <v>42</v>
      </c>
      <c r="P45" s="2" t="s">
        <v>42</v>
      </c>
      <c r="Q45" s="2" t="s">
        <v>42</v>
      </c>
      <c r="R45" s="2" t="s">
        <v>42</v>
      </c>
      <c r="S45" s="2" t="s">
        <v>42</v>
      </c>
      <c r="T45" s="2" t="s">
        <v>42</v>
      </c>
      <c r="U45" s="2" t="s">
        <v>42</v>
      </c>
      <c r="W45" s="9">
        <v>3.5777777777777779</v>
      </c>
      <c r="AB45" s="2" t="s">
        <v>42</v>
      </c>
      <c r="AD45" s="2" t="s">
        <v>42</v>
      </c>
      <c r="AG45" s="2" t="s">
        <v>44</v>
      </c>
      <c r="AH45" s="2" t="s">
        <v>212</v>
      </c>
      <c r="AI45" s="2" t="s">
        <v>213</v>
      </c>
      <c r="AJ45" s="2" t="s">
        <v>42</v>
      </c>
      <c r="AK45" s="2" t="s">
        <v>214</v>
      </c>
      <c r="AL45" s="2" t="s">
        <v>85</v>
      </c>
      <c r="AM45" s="2" t="s">
        <v>215</v>
      </c>
      <c r="AN45" s="4" t="s">
        <v>42</v>
      </c>
      <c r="AO45" s="5" t="s">
        <v>42</v>
      </c>
      <c r="AV45" s="1">
        <v>28.7</v>
      </c>
      <c r="AX45" s="1">
        <f t="shared" si="0"/>
        <v>9.1680555555555561</v>
      </c>
    </row>
    <row r="46" spans="3:50" x14ac:dyDescent="0.25">
      <c r="C46" s="2" t="s">
        <v>42</v>
      </c>
      <c r="D46" s="4"/>
      <c r="E46" s="4"/>
      <c r="F46" s="4"/>
      <c r="G46" s="4"/>
      <c r="I46" s="2" t="s">
        <v>42</v>
      </c>
      <c r="J46" s="2" t="s">
        <v>42</v>
      </c>
      <c r="M46" s="2" t="s">
        <v>42</v>
      </c>
      <c r="N46" s="2" t="s">
        <v>42</v>
      </c>
      <c r="P46" s="2" t="s">
        <v>42</v>
      </c>
      <c r="Q46" s="2" t="s">
        <v>42</v>
      </c>
      <c r="R46" s="2" t="s">
        <v>42</v>
      </c>
      <c r="S46" s="2" t="s">
        <v>42</v>
      </c>
      <c r="T46" s="2" t="s">
        <v>42</v>
      </c>
      <c r="U46" s="2" t="s">
        <v>42</v>
      </c>
      <c r="W46" s="9">
        <v>2.5236111111111112</v>
      </c>
      <c r="AB46" s="2" t="s">
        <v>42</v>
      </c>
      <c r="AD46" s="2" t="s">
        <v>42</v>
      </c>
      <c r="AG46" s="2" t="s">
        <v>44</v>
      </c>
      <c r="AH46" s="2" t="s">
        <v>216</v>
      </c>
      <c r="AI46" s="2" t="s">
        <v>217</v>
      </c>
      <c r="AJ46" s="2" t="s">
        <v>42</v>
      </c>
      <c r="AK46" s="2" t="s">
        <v>218</v>
      </c>
      <c r="AL46" s="2" t="s">
        <v>48</v>
      </c>
      <c r="AM46" s="2" t="s">
        <v>219</v>
      </c>
      <c r="AN46" s="4" t="s">
        <v>42</v>
      </c>
      <c r="AO46" s="5" t="s">
        <v>42</v>
      </c>
      <c r="AV46" s="1">
        <v>6</v>
      </c>
      <c r="AX46" s="1">
        <f t="shared" si="0"/>
        <v>1.916666666666667</v>
      </c>
    </row>
    <row r="47" spans="3:50" x14ac:dyDescent="0.25">
      <c r="C47" s="2" t="s">
        <v>42</v>
      </c>
      <c r="D47" s="4"/>
      <c r="E47" s="4"/>
      <c r="F47" s="4"/>
      <c r="G47" s="4"/>
      <c r="I47" s="2" t="s">
        <v>42</v>
      </c>
      <c r="J47" s="2" t="s">
        <v>42</v>
      </c>
      <c r="M47" s="2" t="s">
        <v>42</v>
      </c>
      <c r="N47" s="2" t="s">
        <v>42</v>
      </c>
      <c r="P47" s="2" t="s">
        <v>42</v>
      </c>
      <c r="Q47" s="2" t="s">
        <v>42</v>
      </c>
      <c r="R47" s="2" t="s">
        <v>42</v>
      </c>
      <c r="S47" s="2" t="s">
        <v>42</v>
      </c>
      <c r="T47" s="2" t="s">
        <v>42</v>
      </c>
      <c r="U47" s="2" t="s">
        <v>42</v>
      </c>
      <c r="W47" s="9">
        <v>2.5555555555555558</v>
      </c>
      <c r="AB47" s="2" t="s">
        <v>42</v>
      </c>
      <c r="AD47" s="2" t="s">
        <v>42</v>
      </c>
      <c r="AG47" s="2" t="s">
        <v>44</v>
      </c>
      <c r="AH47" s="2" t="s">
        <v>220</v>
      </c>
      <c r="AI47" s="2" t="s">
        <v>221</v>
      </c>
      <c r="AJ47" s="2" t="s">
        <v>42</v>
      </c>
      <c r="AK47" s="2" t="s">
        <v>222</v>
      </c>
      <c r="AL47" s="2" t="s">
        <v>48</v>
      </c>
      <c r="AM47" s="2" t="s">
        <v>223</v>
      </c>
      <c r="AN47" s="4" t="s">
        <v>42</v>
      </c>
      <c r="AO47" s="5" t="s">
        <v>42</v>
      </c>
      <c r="AV47" s="1">
        <v>17.8</v>
      </c>
      <c r="AX47" s="1">
        <f t="shared" si="0"/>
        <v>5.6861111111111118</v>
      </c>
    </row>
    <row r="48" spans="3:50" x14ac:dyDescent="0.25">
      <c r="C48" s="2" t="s">
        <v>42</v>
      </c>
      <c r="D48" s="4"/>
      <c r="E48" s="4"/>
      <c r="F48" s="4"/>
      <c r="G48" s="4"/>
      <c r="I48" s="2" t="s">
        <v>42</v>
      </c>
      <c r="J48" s="2" t="s">
        <v>42</v>
      </c>
      <c r="M48" s="2" t="s">
        <v>42</v>
      </c>
      <c r="N48" s="2" t="s">
        <v>42</v>
      </c>
      <c r="P48" s="2" t="s">
        <v>42</v>
      </c>
      <c r="Q48" s="2" t="s">
        <v>42</v>
      </c>
      <c r="R48" s="2" t="s">
        <v>42</v>
      </c>
      <c r="S48" s="2" t="s">
        <v>42</v>
      </c>
      <c r="T48" s="2" t="s">
        <v>42</v>
      </c>
      <c r="U48" s="2" t="s">
        <v>42</v>
      </c>
      <c r="W48" s="9">
        <v>3.865277777777778</v>
      </c>
      <c r="AB48" s="2" t="s">
        <v>42</v>
      </c>
      <c r="AD48" s="2" t="s">
        <v>42</v>
      </c>
      <c r="AG48" s="2" t="s">
        <v>44</v>
      </c>
      <c r="AH48" s="2" t="s">
        <v>224</v>
      </c>
      <c r="AI48" s="2" t="s">
        <v>225</v>
      </c>
      <c r="AJ48" s="2" t="s">
        <v>42</v>
      </c>
      <c r="AK48" s="2" t="s">
        <v>226</v>
      </c>
      <c r="AL48" s="2" t="s">
        <v>48</v>
      </c>
      <c r="AM48" s="2" t="s">
        <v>227</v>
      </c>
      <c r="AN48" s="4" t="s">
        <v>42</v>
      </c>
      <c r="AO48" s="5" t="s">
        <v>42</v>
      </c>
      <c r="AV48" s="1">
        <v>11.2</v>
      </c>
      <c r="AX48" s="1">
        <f t="shared" si="0"/>
        <v>3.5777777777777779</v>
      </c>
    </row>
    <row r="49" spans="3:50" x14ac:dyDescent="0.25">
      <c r="C49" s="2" t="s">
        <v>42</v>
      </c>
      <c r="D49" s="4"/>
      <c r="E49" s="4"/>
      <c r="F49" s="4"/>
      <c r="G49" s="4"/>
      <c r="I49" s="2" t="s">
        <v>42</v>
      </c>
      <c r="J49" s="2" t="s">
        <v>42</v>
      </c>
      <c r="M49" s="2" t="s">
        <v>42</v>
      </c>
      <c r="N49" s="2" t="s">
        <v>42</v>
      </c>
      <c r="P49" s="2" t="s">
        <v>42</v>
      </c>
      <c r="Q49" s="2" t="s">
        <v>42</v>
      </c>
      <c r="R49" s="2" t="s">
        <v>42</v>
      </c>
      <c r="S49" s="2" t="s">
        <v>42</v>
      </c>
      <c r="T49" s="2" t="s">
        <v>42</v>
      </c>
      <c r="U49" s="2" t="s">
        <v>42</v>
      </c>
      <c r="W49" s="9">
        <v>3.7055555555555557</v>
      </c>
      <c r="AB49" s="2" t="s">
        <v>42</v>
      </c>
      <c r="AD49" s="2" t="s">
        <v>42</v>
      </c>
      <c r="AG49" s="2" t="s">
        <v>44</v>
      </c>
      <c r="AH49" s="2" t="s">
        <v>228</v>
      </c>
      <c r="AI49" s="2" t="s">
        <v>229</v>
      </c>
      <c r="AJ49" s="2" t="s">
        <v>42</v>
      </c>
      <c r="AK49" s="2" t="s">
        <v>230</v>
      </c>
      <c r="AL49" s="2" t="s">
        <v>85</v>
      </c>
      <c r="AM49" s="2" t="s">
        <v>231</v>
      </c>
      <c r="AN49" s="4" t="s">
        <v>42</v>
      </c>
      <c r="AO49" s="5" t="s">
        <v>42</v>
      </c>
      <c r="AV49" s="1">
        <v>7.9</v>
      </c>
      <c r="AX49" s="1">
        <f t="shared" si="0"/>
        <v>2.5236111111111112</v>
      </c>
    </row>
    <row r="50" spans="3:50" x14ac:dyDescent="0.25">
      <c r="C50" s="2" t="s">
        <v>42</v>
      </c>
      <c r="D50" s="4"/>
      <c r="E50" s="4"/>
      <c r="F50" s="4"/>
      <c r="G50" s="4"/>
      <c r="I50" s="2" t="s">
        <v>42</v>
      </c>
      <c r="J50" s="2" t="s">
        <v>42</v>
      </c>
      <c r="M50" s="2" t="s">
        <v>42</v>
      </c>
      <c r="N50" s="2" t="s">
        <v>42</v>
      </c>
      <c r="P50" s="2" t="s">
        <v>42</v>
      </c>
      <c r="Q50" s="2" t="s">
        <v>42</v>
      </c>
      <c r="R50" s="2" t="s">
        <v>42</v>
      </c>
      <c r="S50" s="2" t="s">
        <v>42</v>
      </c>
      <c r="T50" s="2" t="s">
        <v>42</v>
      </c>
      <c r="U50" s="2" t="s">
        <v>42</v>
      </c>
      <c r="W50" s="9">
        <v>2.5555555555555558</v>
      </c>
      <c r="AB50" s="2" t="s">
        <v>42</v>
      </c>
      <c r="AD50" s="2" t="s">
        <v>42</v>
      </c>
      <c r="AG50" s="2" t="s">
        <v>44</v>
      </c>
      <c r="AH50" s="2" t="s">
        <v>232</v>
      </c>
      <c r="AI50" s="2" t="s">
        <v>233</v>
      </c>
      <c r="AJ50" s="2" t="s">
        <v>42</v>
      </c>
      <c r="AK50" s="2" t="s">
        <v>234</v>
      </c>
      <c r="AL50" s="2" t="s">
        <v>48</v>
      </c>
      <c r="AM50" s="2" t="s">
        <v>235</v>
      </c>
      <c r="AN50" s="4" t="s">
        <v>42</v>
      </c>
      <c r="AO50" s="5" t="s">
        <v>42</v>
      </c>
      <c r="AV50" s="1">
        <v>8</v>
      </c>
      <c r="AX50" s="1">
        <f t="shared" si="0"/>
        <v>2.5555555555555558</v>
      </c>
    </row>
    <row r="51" spans="3:50" x14ac:dyDescent="0.25">
      <c r="C51" s="2" t="s">
        <v>42</v>
      </c>
      <c r="D51" s="4"/>
      <c r="E51" s="4"/>
      <c r="F51" s="4"/>
      <c r="G51" s="4"/>
      <c r="I51" s="2" t="s">
        <v>42</v>
      </c>
      <c r="J51" s="2" t="s">
        <v>42</v>
      </c>
      <c r="M51" s="2" t="s">
        <v>42</v>
      </c>
      <c r="N51" s="2" t="s">
        <v>42</v>
      </c>
      <c r="P51" s="2" t="s">
        <v>42</v>
      </c>
      <c r="Q51" s="2" t="s">
        <v>42</v>
      </c>
      <c r="R51" s="2" t="s">
        <v>42</v>
      </c>
      <c r="S51" s="2" t="s">
        <v>42</v>
      </c>
      <c r="T51" s="2" t="s">
        <v>42</v>
      </c>
      <c r="U51" s="2" t="s">
        <v>42</v>
      </c>
      <c r="W51" s="9">
        <v>2.4597222222222226</v>
      </c>
      <c r="AB51" s="2" t="s">
        <v>42</v>
      </c>
      <c r="AD51" s="2" t="s">
        <v>42</v>
      </c>
      <c r="AG51" s="2" t="s">
        <v>44</v>
      </c>
      <c r="AH51" s="2" t="s">
        <v>236</v>
      </c>
      <c r="AI51" s="2" t="s">
        <v>237</v>
      </c>
      <c r="AJ51" s="2" t="s">
        <v>42</v>
      </c>
      <c r="AK51" s="2" t="s">
        <v>238</v>
      </c>
      <c r="AL51" s="2" t="s">
        <v>85</v>
      </c>
      <c r="AM51" s="2" t="s">
        <v>239</v>
      </c>
      <c r="AN51" s="4" t="s">
        <v>42</v>
      </c>
      <c r="AO51" s="5" t="s">
        <v>42</v>
      </c>
      <c r="AV51" s="1">
        <v>12.1</v>
      </c>
      <c r="AX51" s="1">
        <f t="shared" si="0"/>
        <v>3.865277777777778</v>
      </c>
    </row>
    <row r="52" spans="3:50" x14ac:dyDescent="0.25">
      <c r="C52" s="2" t="s">
        <v>42</v>
      </c>
      <c r="D52" s="4"/>
      <c r="E52" s="4"/>
      <c r="F52" s="4"/>
      <c r="G52" s="4"/>
      <c r="I52" s="2" t="s">
        <v>42</v>
      </c>
      <c r="J52" s="2" t="s">
        <v>42</v>
      </c>
      <c r="M52" s="2" t="s">
        <v>42</v>
      </c>
      <c r="N52" s="2" t="s">
        <v>42</v>
      </c>
      <c r="P52" s="2" t="s">
        <v>42</v>
      </c>
      <c r="Q52" s="2" t="s">
        <v>42</v>
      </c>
      <c r="R52" s="2" t="s">
        <v>42</v>
      </c>
      <c r="S52" s="2" t="s">
        <v>42</v>
      </c>
      <c r="T52" s="2" t="s">
        <v>42</v>
      </c>
      <c r="U52" s="2" t="s">
        <v>42</v>
      </c>
      <c r="W52" s="9">
        <v>1.916666666666667</v>
      </c>
      <c r="AB52" s="2" t="s">
        <v>42</v>
      </c>
      <c r="AD52" s="2" t="s">
        <v>42</v>
      </c>
      <c r="AG52" s="2" t="s">
        <v>44</v>
      </c>
      <c r="AH52" s="2" t="s">
        <v>240</v>
      </c>
      <c r="AI52" s="2" t="s">
        <v>241</v>
      </c>
      <c r="AJ52" s="2" t="s">
        <v>42</v>
      </c>
      <c r="AK52" s="2" t="s">
        <v>242</v>
      </c>
      <c r="AL52" s="2" t="s">
        <v>48</v>
      </c>
      <c r="AM52" s="2" t="s">
        <v>243</v>
      </c>
      <c r="AN52" s="4" t="s">
        <v>42</v>
      </c>
      <c r="AO52" s="5" t="s">
        <v>42</v>
      </c>
      <c r="AV52" s="1">
        <v>11.6</v>
      </c>
      <c r="AX52" s="1">
        <f t="shared" si="0"/>
        <v>3.7055555555555557</v>
      </c>
    </row>
    <row r="53" spans="3:50" x14ac:dyDescent="0.25">
      <c r="C53" s="2" t="s">
        <v>42</v>
      </c>
      <c r="D53" s="4"/>
      <c r="E53" s="4"/>
      <c r="F53" s="4"/>
      <c r="G53" s="4"/>
      <c r="I53" s="2" t="s">
        <v>42</v>
      </c>
      <c r="J53" s="2" t="s">
        <v>42</v>
      </c>
      <c r="M53" s="2" t="s">
        <v>42</v>
      </c>
      <c r="N53" s="2" t="s">
        <v>42</v>
      </c>
      <c r="P53" s="2" t="s">
        <v>42</v>
      </c>
      <c r="Q53" s="2" t="s">
        <v>42</v>
      </c>
      <c r="R53" s="2" t="s">
        <v>42</v>
      </c>
      <c r="S53" s="2" t="s">
        <v>42</v>
      </c>
      <c r="T53" s="2" t="s">
        <v>42</v>
      </c>
      <c r="U53" s="2" t="s">
        <v>42</v>
      </c>
      <c r="W53" s="9">
        <v>3.7055555555555557</v>
      </c>
      <c r="AB53" s="2" t="s">
        <v>42</v>
      </c>
      <c r="AD53" s="2" t="s">
        <v>42</v>
      </c>
      <c r="AG53" s="2" t="s">
        <v>44</v>
      </c>
      <c r="AH53" s="2" t="s">
        <v>244</v>
      </c>
      <c r="AI53" s="2" t="s">
        <v>245</v>
      </c>
      <c r="AJ53" s="2" t="s">
        <v>42</v>
      </c>
      <c r="AK53" s="2" t="s">
        <v>246</v>
      </c>
      <c r="AL53" s="2" t="s">
        <v>85</v>
      </c>
      <c r="AM53" s="2" t="s">
        <v>247</v>
      </c>
      <c r="AN53" s="4" t="s">
        <v>42</v>
      </c>
      <c r="AO53" s="5" t="s">
        <v>42</v>
      </c>
      <c r="AV53" s="1">
        <v>8</v>
      </c>
      <c r="AX53" s="1">
        <f t="shared" si="0"/>
        <v>2.5555555555555558</v>
      </c>
    </row>
    <row r="54" spans="3:50" x14ac:dyDescent="0.25">
      <c r="C54" s="2" t="s">
        <v>42</v>
      </c>
      <c r="D54" s="4"/>
      <c r="E54" s="4"/>
      <c r="F54" s="4"/>
      <c r="G54" s="4"/>
      <c r="I54" s="2" t="s">
        <v>42</v>
      </c>
      <c r="J54" s="2" t="s">
        <v>42</v>
      </c>
      <c r="M54" s="2" t="s">
        <v>42</v>
      </c>
      <c r="N54" s="2" t="s">
        <v>42</v>
      </c>
      <c r="P54" s="2" t="s">
        <v>42</v>
      </c>
      <c r="Q54" s="2" t="s">
        <v>42</v>
      </c>
      <c r="R54" s="2" t="s">
        <v>42</v>
      </c>
      <c r="S54" s="2" t="s">
        <v>42</v>
      </c>
      <c r="T54" s="2" t="s">
        <v>42</v>
      </c>
      <c r="U54" s="2" t="s">
        <v>42</v>
      </c>
      <c r="W54" s="9">
        <v>4.6000000000000005</v>
      </c>
      <c r="AB54" s="2" t="s">
        <v>42</v>
      </c>
      <c r="AD54" s="2" t="s">
        <v>42</v>
      </c>
      <c r="AG54" s="2" t="s">
        <v>44</v>
      </c>
      <c r="AH54" s="2" t="s">
        <v>248</v>
      </c>
      <c r="AI54" s="2" t="s">
        <v>249</v>
      </c>
      <c r="AJ54" s="2" t="s">
        <v>42</v>
      </c>
      <c r="AK54" s="2" t="s">
        <v>250</v>
      </c>
      <c r="AL54" s="2" t="s">
        <v>48</v>
      </c>
      <c r="AM54" s="2" t="s">
        <v>251</v>
      </c>
      <c r="AN54" s="4" t="s">
        <v>42</v>
      </c>
      <c r="AO54" s="5" t="s">
        <v>42</v>
      </c>
      <c r="AV54" s="1">
        <v>7.7</v>
      </c>
      <c r="AX54" s="1">
        <f t="shared" si="0"/>
        <v>2.4597222222222226</v>
      </c>
    </row>
    <row r="55" spans="3:50" x14ac:dyDescent="0.25">
      <c r="C55" s="2" t="s">
        <v>42</v>
      </c>
      <c r="D55" s="4"/>
      <c r="E55" s="4"/>
      <c r="F55" s="4"/>
      <c r="G55" s="4"/>
      <c r="I55" s="2" t="s">
        <v>42</v>
      </c>
      <c r="J55" s="2" t="s">
        <v>42</v>
      </c>
      <c r="M55" s="2" t="s">
        <v>42</v>
      </c>
      <c r="N55" s="2" t="s">
        <v>42</v>
      </c>
      <c r="P55" s="2" t="s">
        <v>42</v>
      </c>
      <c r="Q55" s="2" t="s">
        <v>42</v>
      </c>
      <c r="R55" s="2" t="s">
        <v>42</v>
      </c>
      <c r="S55" s="2" t="s">
        <v>42</v>
      </c>
      <c r="T55" s="2" t="s">
        <v>42</v>
      </c>
      <c r="U55" s="2" t="s">
        <v>42</v>
      </c>
      <c r="W55" s="9">
        <v>3.8972222222222226</v>
      </c>
      <c r="AB55" s="2" t="s">
        <v>42</v>
      </c>
      <c r="AD55" s="2" t="s">
        <v>42</v>
      </c>
      <c r="AG55" s="2" t="s">
        <v>44</v>
      </c>
      <c r="AH55" s="2" t="s">
        <v>252</v>
      </c>
      <c r="AI55" s="2" t="s">
        <v>253</v>
      </c>
      <c r="AJ55" s="2" t="s">
        <v>42</v>
      </c>
      <c r="AK55" s="2" t="s">
        <v>254</v>
      </c>
      <c r="AL55" s="2" t="s">
        <v>48</v>
      </c>
      <c r="AM55" s="2" t="s">
        <v>255</v>
      </c>
      <c r="AN55" s="4" t="s">
        <v>42</v>
      </c>
      <c r="AO55" s="5" t="s">
        <v>42</v>
      </c>
      <c r="AV55" s="1">
        <v>6</v>
      </c>
      <c r="AX55" s="1">
        <f t="shared" si="0"/>
        <v>1.916666666666667</v>
      </c>
    </row>
    <row r="56" spans="3:50" x14ac:dyDescent="0.25">
      <c r="C56" s="2" t="s">
        <v>42</v>
      </c>
      <c r="D56" s="4"/>
      <c r="E56" s="4"/>
      <c r="F56" s="4"/>
      <c r="G56" s="4"/>
      <c r="I56" s="2" t="s">
        <v>42</v>
      </c>
      <c r="J56" s="2" t="s">
        <v>42</v>
      </c>
      <c r="M56" s="2" t="s">
        <v>42</v>
      </c>
      <c r="N56" s="2" t="s">
        <v>42</v>
      </c>
      <c r="P56" s="2" t="s">
        <v>42</v>
      </c>
      <c r="Q56" s="2" t="s">
        <v>42</v>
      </c>
      <c r="R56" s="2" t="s">
        <v>42</v>
      </c>
      <c r="S56" s="2" t="s">
        <v>42</v>
      </c>
      <c r="T56" s="2" t="s">
        <v>42</v>
      </c>
      <c r="U56" s="2" t="s">
        <v>42</v>
      </c>
      <c r="W56" s="9">
        <v>3.7055555555555557</v>
      </c>
      <c r="AB56" s="2" t="s">
        <v>42</v>
      </c>
      <c r="AD56" s="2" t="s">
        <v>42</v>
      </c>
      <c r="AG56" s="2" t="s">
        <v>44</v>
      </c>
      <c r="AH56" s="2" t="s">
        <v>256</v>
      </c>
      <c r="AI56" s="2" t="s">
        <v>257</v>
      </c>
      <c r="AJ56" s="2" t="s">
        <v>42</v>
      </c>
      <c r="AK56" s="2" t="s">
        <v>258</v>
      </c>
      <c r="AL56" s="2" t="s">
        <v>85</v>
      </c>
      <c r="AM56" s="2" t="s">
        <v>259</v>
      </c>
      <c r="AN56" s="4" t="s">
        <v>42</v>
      </c>
      <c r="AO56" s="5" t="s">
        <v>42</v>
      </c>
      <c r="AV56" s="1">
        <v>11.6</v>
      </c>
      <c r="AX56" s="1">
        <f t="shared" si="0"/>
        <v>3.7055555555555557</v>
      </c>
    </row>
    <row r="57" spans="3:50" x14ac:dyDescent="0.25">
      <c r="C57" s="2" t="s">
        <v>42</v>
      </c>
      <c r="D57" s="4"/>
      <c r="E57" s="4"/>
      <c r="F57" s="4"/>
      <c r="G57" s="4"/>
      <c r="I57" s="2" t="s">
        <v>42</v>
      </c>
      <c r="J57" s="2" t="s">
        <v>42</v>
      </c>
      <c r="M57" s="2" t="s">
        <v>42</v>
      </c>
      <c r="N57" s="2" t="s">
        <v>42</v>
      </c>
      <c r="P57" s="2" t="s">
        <v>42</v>
      </c>
      <c r="Q57" s="2" t="s">
        <v>42</v>
      </c>
      <c r="R57" s="2" t="s">
        <v>42</v>
      </c>
      <c r="S57" s="2" t="s">
        <v>42</v>
      </c>
      <c r="T57" s="2" t="s">
        <v>42</v>
      </c>
      <c r="U57" s="2" t="s">
        <v>42</v>
      </c>
      <c r="W57" s="9">
        <v>2.5555555555555558</v>
      </c>
      <c r="AB57" s="2" t="s">
        <v>42</v>
      </c>
      <c r="AD57" s="2" t="s">
        <v>42</v>
      </c>
      <c r="AG57" s="2" t="s">
        <v>44</v>
      </c>
      <c r="AH57" s="2" t="s">
        <v>260</v>
      </c>
      <c r="AI57" s="2" t="s">
        <v>261</v>
      </c>
      <c r="AJ57" s="2" t="s">
        <v>42</v>
      </c>
      <c r="AK57" s="2" t="s">
        <v>262</v>
      </c>
      <c r="AL57" s="2" t="s">
        <v>48</v>
      </c>
      <c r="AM57" s="2" t="s">
        <v>263</v>
      </c>
      <c r="AN57" s="4" t="s">
        <v>42</v>
      </c>
      <c r="AO57" s="5" t="s">
        <v>42</v>
      </c>
      <c r="AV57" s="1">
        <v>14.4</v>
      </c>
      <c r="AX57" s="1">
        <f t="shared" si="0"/>
        <v>4.6000000000000005</v>
      </c>
    </row>
    <row r="58" spans="3:50" x14ac:dyDescent="0.25">
      <c r="C58" s="2" t="s">
        <v>42</v>
      </c>
      <c r="D58" s="4"/>
      <c r="E58" s="4"/>
      <c r="F58" s="4"/>
      <c r="G58" s="4"/>
      <c r="I58" s="2" t="s">
        <v>42</v>
      </c>
      <c r="J58" s="2" t="s">
        <v>42</v>
      </c>
      <c r="M58" s="2" t="s">
        <v>42</v>
      </c>
      <c r="N58" s="2" t="s">
        <v>42</v>
      </c>
      <c r="P58" s="2" t="s">
        <v>42</v>
      </c>
      <c r="Q58" s="2" t="s">
        <v>42</v>
      </c>
      <c r="R58" s="2" t="s">
        <v>42</v>
      </c>
      <c r="S58" s="2" t="s">
        <v>42</v>
      </c>
      <c r="T58" s="2" t="s">
        <v>42</v>
      </c>
      <c r="U58" s="2" t="s">
        <v>42</v>
      </c>
      <c r="W58" s="9">
        <v>25.587500000000002</v>
      </c>
      <c r="AB58" s="2" t="s">
        <v>42</v>
      </c>
      <c r="AD58" s="2" t="s">
        <v>42</v>
      </c>
      <c r="AG58" s="2" t="s">
        <v>44</v>
      </c>
      <c r="AH58" s="2" t="s">
        <v>264</v>
      </c>
      <c r="AI58" s="2" t="s">
        <v>265</v>
      </c>
      <c r="AJ58" s="2" t="s">
        <v>42</v>
      </c>
      <c r="AK58" s="2" t="s">
        <v>266</v>
      </c>
      <c r="AL58" s="2" t="s">
        <v>85</v>
      </c>
      <c r="AM58" s="2" t="s">
        <v>267</v>
      </c>
      <c r="AN58" s="4" t="s">
        <v>42</v>
      </c>
      <c r="AO58" s="5" t="s">
        <v>42</v>
      </c>
      <c r="AV58" s="1">
        <v>12.2</v>
      </c>
      <c r="AX58" s="1">
        <f t="shared" si="0"/>
        <v>3.8972222222222226</v>
      </c>
    </row>
    <row r="59" spans="3:50" x14ac:dyDescent="0.25">
      <c r="C59" s="2" t="s">
        <v>42</v>
      </c>
      <c r="D59" s="4"/>
      <c r="E59" s="4"/>
      <c r="F59" s="4"/>
      <c r="G59" s="4"/>
      <c r="I59" s="2" t="s">
        <v>42</v>
      </c>
      <c r="J59" s="2" t="s">
        <v>42</v>
      </c>
      <c r="M59" s="2" t="s">
        <v>42</v>
      </c>
      <c r="N59" s="2" t="s">
        <v>42</v>
      </c>
      <c r="P59" s="2" t="s">
        <v>42</v>
      </c>
      <c r="Q59" s="2" t="s">
        <v>42</v>
      </c>
      <c r="R59" s="2" t="s">
        <v>42</v>
      </c>
      <c r="S59" s="2" t="s">
        <v>42</v>
      </c>
      <c r="T59" s="2" t="s">
        <v>42</v>
      </c>
      <c r="U59" s="2" t="s">
        <v>42</v>
      </c>
      <c r="W59" s="9">
        <v>13.927777777777779</v>
      </c>
      <c r="AB59" s="2" t="s">
        <v>42</v>
      </c>
      <c r="AD59" s="2" t="s">
        <v>42</v>
      </c>
      <c r="AG59" s="2" t="s">
        <v>44</v>
      </c>
      <c r="AH59" s="2" t="s">
        <v>268</v>
      </c>
      <c r="AI59" s="2" t="s">
        <v>269</v>
      </c>
      <c r="AJ59" s="2" t="s">
        <v>42</v>
      </c>
      <c r="AK59" s="2" t="s">
        <v>270</v>
      </c>
      <c r="AL59" s="2" t="s">
        <v>48</v>
      </c>
      <c r="AM59" s="2" t="s">
        <v>271</v>
      </c>
      <c r="AN59" s="4" t="s">
        <v>42</v>
      </c>
      <c r="AO59" s="5" t="s">
        <v>42</v>
      </c>
      <c r="AV59" s="1">
        <v>11.6</v>
      </c>
      <c r="AX59" s="1">
        <f t="shared" si="0"/>
        <v>3.7055555555555557</v>
      </c>
    </row>
    <row r="60" spans="3:50" x14ac:dyDescent="0.25">
      <c r="C60" s="2" t="s">
        <v>42</v>
      </c>
      <c r="D60" s="4"/>
      <c r="E60" s="4"/>
      <c r="F60" s="4"/>
      <c r="G60" s="4"/>
      <c r="I60" s="2" t="s">
        <v>42</v>
      </c>
      <c r="J60" s="2" t="s">
        <v>42</v>
      </c>
      <c r="M60" s="2" t="s">
        <v>42</v>
      </c>
      <c r="N60" s="2" t="s">
        <v>42</v>
      </c>
      <c r="P60" s="2" t="s">
        <v>42</v>
      </c>
      <c r="Q60" s="2" t="s">
        <v>42</v>
      </c>
      <c r="R60" s="2" t="s">
        <v>42</v>
      </c>
      <c r="S60" s="2" t="s">
        <v>42</v>
      </c>
      <c r="T60" s="2" t="s">
        <v>42</v>
      </c>
      <c r="U60" s="2" t="s">
        <v>42</v>
      </c>
      <c r="W60" s="9">
        <v>11.468055555555557</v>
      </c>
      <c r="AB60" s="2" t="s">
        <v>42</v>
      </c>
      <c r="AD60" s="2" t="s">
        <v>42</v>
      </c>
      <c r="AG60" s="2" t="s">
        <v>44</v>
      </c>
      <c r="AH60" s="2" t="s">
        <v>272</v>
      </c>
      <c r="AI60" s="2" t="s">
        <v>273</v>
      </c>
      <c r="AJ60" s="2" t="s">
        <v>42</v>
      </c>
      <c r="AK60" s="2" t="s">
        <v>274</v>
      </c>
      <c r="AL60" s="2" t="s">
        <v>85</v>
      </c>
      <c r="AM60" s="2" t="s">
        <v>275</v>
      </c>
      <c r="AN60" s="4" t="s">
        <v>42</v>
      </c>
      <c r="AO60" s="5" t="s">
        <v>42</v>
      </c>
      <c r="AV60" s="1">
        <v>8</v>
      </c>
      <c r="AX60" s="1">
        <f t="shared" si="0"/>
        <v>2.5555555555555558</v>
      </c>
    </row>
    <row r="61" spans="3:50" x14ac:dyDescent="0.25">
      <c r="C61" s="2" t="s">
        <v>42</v>
      </c>
      <c r="I61" s="2" t="s">
        <v>42</v>
      </c>
      <c r="J61" s="2" t="s">
        <v>42</v>
      </c>
      <c r="M61" s="2" t="s">
        <v>42</v>
      </c>
      <c r="N61" s="2" t="s">
        <v>42</v>
      </c>
      <c r="P61" s="2" t="s">
        <v>42</v>
      </c>
      <c r="Q61" s="2" t="s">
        <v>42</v>
      </c>
      <c r="R61" s="2" t="s">
        <v>42</v>
      </c>
      <c r="S61" s="2" t="s">
        <v>42</v>
      </c>
      <c r="T61" s="2" t="s">
        <v>42</v>
      </c>
      <c r="U61" s="2" t="s">
        <v>42</v>
      </c>
      <c r="W61" s="9">
        <v>3.9291666666666671</v>
      </c>
      <c r="AB61" s="2" t="s">
        <v>42</v>
      </c>
      <c r="AD61" s="2" t="s">
        <v>42</v>
      </c>
      <c r="AG61" s="2" t="s">
        <v>44</v>
      </c>
      <c r="AH61" s="2" t="s">
        <v>276</v>
      </c>
      <c r="AI61" s="2" t="s">
        <v>277</v>
      </c>
      <c r="AJ61" s="2" t="s">
        <v>42</v>
      </c>
      <c r="AK61" s="2" t="s">
        <v>278</v>
      </c>
      <c r="AL61" s="2" t="s">
        <v>48</v>
      </c>
      <c r="AM61" s="2" t="s">
        <v>279</v>
      </c>
      <c r="AN61" s="2" t="s">
        <v>42</v>
      </c>
      <c r="AO61" s="8" t="s">
        <v>42</v>
      </c>
      <c r="AV61" s="1">
        <v>80.099999999999994</v>
      </c>
      <c r="AX61" s="1">
        <f t="shared" si="0"/>
        <v>25.587500000000002</v>
      </c>
    </row>
    <row r="62" spans="3:50" x14ac:dyDescent="0.25">
      <c r="C62" s="2" t="s">
        <v>42</v>
      </c>
      <c r="I62" s="2" t="s">
        <v>42</v>
      </c>
      <c r="J62" s="2" t="s">
        <v>42</v>
      </c>
      <c r="M62" s="2" t="s">
        <v>42</v>
      </c>
      <c r="N62" s="2" t="s">
        <v>42</v>
      </c>
      <c r="P62" s="2" t="s">
        <v>42</v>
      </c>
      <c r="Q62" s="2" t="s">
        <v>42</v>
      </c>
      <c r="R62" s="2" t="s">
        <v>42</v>
      </c>
      <c r="S62" s="2" t="s">
        <v>42</v>
      </c>
      <c r="T62" s="2" t="s">
        <v>42</v>
      </c>
      <c r="U62" s="2" t="s">
        <v>42</v>
      </c>
      <c r="W62" s="9">
        <v>7.2513888888888891</v>
      </c>
      <c r="AB62" s="2" t="s">
        <v>42</v>
      </c>
      <c r="AD62" s="2" t="s">
        <v>42</v>
      </c>
      <c r="AG62" s="2" t="s">
        <v>44</v>
      </c>
      <c r="AH62" s="2" t="s">
        <v>280</v>
      </c>
      <c r="AI62" s="2" t="s">
        <v>281</v>
      </c>
      <c r="AJ62" s="2" t="s">
        <v>42</v>
      </c>
      <c r="AK62" s="2" t="s">
        <v>282</v>
      </c>
      <c r="AL62" s="2" t="s">
        <v>48</v>
      </c>
      <c r="AM62" s="2" t="s">
        <v>283</v>
      </c>
      <c r="AN62" s="2" t="s">
        <v>42</v>
      </c>
      <c r="AO62" s="8" t="s">
        <v>42</v>
      </c>
      <c r="AV62" s="1">
        <v>43.6</v>
      </c>
      <c r="AX62" s="1">
        <f t="shared" si="0"/>
        <v>13.927777777777779</v>
      </c>
    </row>
    <row r="63" spans="3:50" x14ac:dyDescent="0.25">
      <c r="C63" s="2" t="s">
        <v>42</v>
      </c>
      <c r="I63" s="2" t="s">
        <v>42</v>
      </c>
      <c r="J63" s="2" t="s">
        <v>42</v>
      </c>
      <c r="M63" s="2" t="s">
        <v>42</v>
      </c>
      <c r="N63" s="2" t="s">
        <v>42</v>
      </c>
      <c r="P63" s="2" t="s">
        <v>42</v>
      </c>
      <c r="Q63" s="2" t="s">
        <v>42</v>
      </c>
      <c r="R63" s="2" t="s">
        <v>42</v>
      </c>
      <c r="S63" s="2" t="s">
        <v>42</v>
      </c>
      <c r="T63" s="2" t="s">
        <v>42</v>
      </c>
      <c r="U63" s="2" t="s">
        <v>42</v>
      </c>
      <c r="W63" s="9">
        <v>2.9708333333333337</v>
      </c>
      <c r="AB63" s="2" t="s">
        <v>42</v>
      </c>
      <c r="AD63" s="2" t="s">
        <v>42</v>
      </c>
      <c r="AG63" s="2" t="s">
        <v>44</v>
      </c>
      <c r="AH63" s="2" t="s">
        <v>284</v>
      </c>
      <c r="AI63" s="2" t="s">
        <v>285</v>
      </c>
      <c r="AJ63" s="2" t="s">
        <v>42</v>
      </c>
      <c r="AK63" s="2" t="s">
        <v>286</v>
      </c>
      <c r="AL63" s="2" t="s">
        <v>48</v>
      </c>
      <c r="AM63" s="2" t="s">
        <v>287</v>
      </c>
      <c r="AN63" s="2" t="s">
        <v>42</v>
      </c>
      <c r="AO63" s="8" t="s">
        <v>42</v>
      </c>
      <c r="AV63" s="1">
        <v>35.9</v>
      </c>
      <c r="AX63" s="1">
        <f t="shared" si="0"/>
        <v>11.468055555555557</v>
      </c>
    </row>
    <row r="64" spans="3:50" x14ac:dyDescent="0.25">
      <c r="C64" s="2" t="s">
        <v>42</v>
      </c>
      <c r="I64" s="2" t="s">
        <v>42</v>
      </c>
      <c r="J64" s="2" t="s">
        <v>42</v>
      </c>
      <c r="M64" s="2" t="s">
        <v>42</v>
      </c>
      <c r="N64" s="2" t="s">
        <v>42</v>
      </c>
      <c r="P64" s="2" t="s">
        <v>42</v>
      </c>
      <c r="Q64" s="2" t="s">
        <v>42</v>
      </c>
      <c r="R64" s="2" t="s">
        <v>42</v>
      </c>
      <c r="S64" s="2" t="s">
        <v>42</v>
      </c>
      <c r="T64" s="2" t="s">
        <v>42</v>
      </c>
      <c r="U64" s="2" t="s">
        <v>42</v>
      </c>
      <c r="W64" s="9">
        <v>16.291666666666668</v>
      </c>
      <c r="AB64" s="2" t="s">
        <v>42</v>
      </c>
      <c r="AD64" s="2" t="s">
        <v>42</v>
      </c>
      <c r="AG64" s="2" t="s">
        <v>44</v>
      </c>
      <c r="AH64" s="2" t="s">
        <v>288</v>
      </c>
      <c r="AI64" s="2" t="s">
        <v>289</v>
      </c>
      <c r="AJ64" s="2" t="s">
        <v>42</v>
      </c>
      <c r="AK64" s="2" t="s">
        <v>290</v>
      </c>
      <c r="AL64" s="2" t="s">
        <v>48</v>
      </c>
      <c r="AM64" s="2" t="s">
        <v>291</v>
      </c>
      <c r="AN64" s="2" t="s">
        <v>42</v>
      </c>
      <c r="AO64" s="8" t="s">
        <v>42</v>
      </c>
      <c r="AV64" s="1">
        <v>12.3</v>
      </c>
      <c r="AX64" s="1">
        <f t="shared" si="0"/>
        <v>3.9291666666666671</v>
      </c>
    </row>
    <row r="65" spans="3:50" x14ac:dyDescent="0.25">
      <c r="C65" s="2" t="s">
        <v>42</v>
      </c>
      <c r="I65" s="2" t="s">
        <v>42</v>
      </c>
      <c r="J65" s="2" t="s">
        <v>42</v>
      </c>
      <c r="M65" s="2" t="s">
        <v>42</v>
      </c>
      <c r="N65" s="2" t="s">
        <v>42</v>
      </c>
      <c r="P65" s="2" t="s">
        <v>42</v>
      </c>
      <c r="Q65" s="2" t="s">
        <v>42</v>
      </c>
      <c r="R65" s="2" t="s">
        <v>42</v>
      </c>
      <c r="S65" s="2" t="s">
        <v>42</v>
      </c>
      <c r="T65" s="2" t="s">
        <v>42</v>
      </c>
      <c r="U65" s="2" t="s">
        <v>42</v>
      </c>
      <c r="W65" s="9">
        <v>8.4972222222222236</v>
      </c>
      <c r="AB65" s="2" t="s">
        <v>42</v>
      </c>
      <c r="AD65" s="2" t="s">
        <v>42</v>
      </c>
      <c r="AG65" s="2" t="s">
        <v>44</v>
      </c>
      <c r="AH65" s="2" t="s">
        <v>292</v>
      </c>
      <c r="AI65" s="2" t="s">
        <v>293</v>
      </c>
      <c r="AJ65" s="2" t="s">
        <v>42</v>
      </c>
      <c r="AK65" s="2" t="s">
        <v>294</v>
      </c>
      <c r="AL65" s="2" t="s">
        <v>85</v>
      </c>
      <c r="AM65" s="2" t="s">
        <v>295</v>
      </c>
      <c r="AN65" s="2" t="s">
        <v>42</v>
      </c>
      <c r="AO65" s="8" t="s">
        <v>42</v>
      </c>
      <c r="AV65" s="1">
        <v>22.7</v>
      </c>
      <c r="AX65" s="1">
        <f t="shared" si="0"/>
        <v>7.2513888888888891</v>
      </c>
    </row>
    <row r="66" spans="3:50" x14ac:dyDescent="0.25">
      <c r="C66" s="2" t="s">
        <v>42</v>
      </c>
      <c r="I66" s="2" t="s">
        <v>42</v>
      </c>
      <c r="J66" s="2" t="s">
        <v>42</v>
      </c>
      <c r="M66" s="2" t="s">
        <v>42</v>
      </c>
      <c r="N66" s="2" t="s">
        <v>42</v>
      </c>
      <c r="P66" s="2" t="s">
        <v>42</v>
      </c>
      <c r="Q66" s="2" t="s">
        <v>42</v>
      </c>
      <c r="R66" s="2" t="s">
        <v>42</v>
      </c>
      <c r="S66" s="2" t="s">
        <v>42</v>
      </c>
      <c r="T66" s="2" t="s">
        <v>42</v>
      </c>
      <c r="U66" s="2" t="s">
        <v>42</v>
      </c>
      <c r="W66" s="9">
        <v>28.175000000000004</v>
      </c>
      <c r="AB66" s="2" t="s">
        <v>42</v>
      </c>
      <c r="AD66" s="2" t="s">
        <v>42</v>
      </c>
      <c r="AG66" s="2" t="s">
        <v>44</v>
      </c>
      <c r="AH66" s="2" t="s">
        <v>296</v>
      </c>
      <c r="AI66" s="2" t="s">
        <v>297</v>
      </c>
      <c r="AJ66" s="2" t="s">
        <v>42</v>
      </c>
      <c r="AK66" s="2" t="s">
        <v>298</v>
      </c>
      <c r="AL66" s="2" t="s">
        <v>85</v>
      </c>
      <c r="AM66" s="2" t="s">
        <v>299</v>
      </c>
      <c r="AN66" s="2" t="s">
        <v>42</v>
      </c>
      <c r="AO66" s="8" t="s">
        <v>42</v>
      </c>
      <c r="AV66" s="1">
        <v>9.3000000000000007</v>
      </c>
      <c r="AX66" s="1">
        <f t="shared" si="0"/>
        <v>2.9708333333333337</v>
      </c>
    </row>
    <row r="67" spans="3:50" x14ac:dyDescent="0.25">
      <c r="C67" s="2" t="s">
        <v>42</v>
      </c>
      <c r="I67" s="2" t="s">
        <v>42</v>
      </c>
      <c r="J67" s="2" t="s">
        <v>42</v>
      </c>
      <c r="M67" s="2" t="s">
        <v>42</v>
      </c>
      <c r="N67" s="2" t="s">
        <v>42</v>
      </c>
      <c r="P67" s="2" t="s">
        <v>42</v>
      </c>
      <c r="Q67" s="2" t="s">
        <v>42</v>
      </c>
      <c r="R67" s="2" t="s">
        <v>42</v>
      </c>
      <c r="S67" s="2" t="s">
        <v>42</v>
      </c>
      <c r="T67" s="2" t="s">
        <v>42</v>
      </c>
      <c r="U67" s="2" t="s">
        <v>42</v>
      </c>
      <c r="W67" s="9">
        <v>3.1625000000000005</v>
      </c>
      <c r="AB67" s="2" t="s">
        <v>42</v>
      </c>
      <c r="AD67" s="2" t="s">
        <v>42</v>
      </c>
      <c r="AG67" s="2" t="s">
        <v>44</v>
      </c>
      <c r="AH67" s="2" t="s">
        <v>300</v>
      </c>
      <c r="AI67" s="2" t="s">
        <v>301</v>
      </c>
      <c r="AJ67" s="2" t="s">
        <v>42</v>
      </c>
      <c r="AK67" s="2" t="s">
        <v>302</v>
      </c>
      <c r="AL67" s="2" t="s">
        <v>48</v>
      </c>
      <c r="AM67" s="2" t="s">
        <v>303</v>
      </c>
      <c r="AN67" s="2" t="s">
        <v>42</v>
      </c>
      <c r="AO67" s="8" t="s">
        <v>42</v>
      </c>
      <c r="AV67" s="1">
        <v>51</v>
      </c>
      <c r="AX67" s="1">
        <f t="shared" si="0"/>
        <v>16.291666666666668</v>
      </c>
    </row>
    <row r="68" spans="3:50" x14ac:dyDescent="0.25">
      <c r="C68" s="2" t="s">
        <v>42</v>
      </c>
      <c r="I68" s="2" t="s">
        <v>42</v>
      </c>
      <c r="J68" s="2" t="s">
        <v>42</v>
      </c>
      <c r="M68" s="2" t="s">
        <v>42</v>
      </c>
      <c r="N68" s="2" t="s">
        <v>42</v>
      </c>
      <c r="P68" s="2" t="s">
        <v>42</v>
      </c>
      <c r="Q68" s="2" t="s">
        <v>42</v>
      </c>
      <c r="R68" s="2" t="s">
        <v>42</v>
      </c>
      <c r="S68" s="2" t="s">
        <v>42</v>
      </c>
      <c r="T68" s="2" t="s">
        <v>42</v>
      </c>
      <c r="U68" s="2" t="s">
        <v>42</v>
      </c>
      <c r="W68" s="9">
        <v>1.6291666666666667</v>
      </c>
      <c r="AB68" s="2" t="s">
        <v>42</v>
      </c>
      <c r="AD68" s="2" t="s">
        <v>42</v>
      </c>
      <c r="AG68" s="2" t="s">
        <v>44</v>
      </c>
      <c r="AH68" s="2" t="s">
        <v>304</v>
      </c>
      <c r="AI68" s="2" t="s">
        <v>305</v>
      </c>
      <c r="AJ68" s="2" t="s">
        <v>42</v>
      </c>
      <c r="AK68" s="2" t="s">
        <v>306</v>
      </c>
      <c r="AL68" s="2" t="s">
        <v>85</v>
      </c>
      <c r="AM68" s="2" t="s">
        <v>307</v>
      </c>
      <c r="AN68" s="2" t="s">
        <v>42</v>
      </c>
      <c r="AO68" s="8" t="s">
        <v>42</v>
      </c>
      <c r="AV68" s="1">
        <v>26.6</v>
      </c>
      <c r="AX68" s="1">
        <f t="shared" si="0"/>
        <v>8.4972222222222236</v>
      </c>
    </row>
    <row r="69" spans="3:50" x14ac:dyDescent="0.25">
      <c r="C69" s="2" t="s">
        <v>42</v>
      </c>
      <c r="I69" s="2" t="s">
        <v>42</v>
      </c>
      <c r="J69" s="2" t="s">
        <v>42</v>
      </c>
      <c r="M69" s="2" t="s">
        <v>42</v>
      </c>
      <c r="N69" s="2" t="s">
        <v>42</v>
      </c>
      <c r="P69" s="2" t="s">
        <v>42</v>
      </c>
      <c r="Q69" s="2" t="s">
        <v>42</v>
      </c>
      <c r="R69" s="2" t="s">
        <v>42</v>
      </c>
      <c r="S69" s="2" t="s">
        <v>42</v>
      </c>
      <c r="T69" s="2" t="s">
        <v>42</v>
      </c>
      <c r="U69" s="2" t="s">
        <v>42</v>
      </c>
      <c r="W69" s="9">
        <v>6.4847222222222234</v>
      </c>
      <c r="AB69" s="2" t="s">
        <v>42</v>
      </c>
      <c r="AD69" s="2" t="s">
        <v>42</v>
      </c>
      <c r="AG69" s="2" t="s">
        <v>44</v>
      </c>
      <c r="AH69" s="2" t="s">
        <v>308</v>
      </c>
      <c r="AI69" s="2" t="s">
        <v>309</v>
      </c>
      <c r="AJ69" s="2" t="s">
        <v>42</v>
      </c>
      <c r="AK69" s="2" t="s">
        <v>310</v>
      </c>
      <c r="AL69" s="2" t="s">
        <v>48</v>
      </c>
      <c r="AM69" s="2" t="s">
        <v>311</v>
      </c>
      <c r="AN69" s="2" t="s">
        <v>42</v>
      </c>
      <c r="AO69" s="8" t="s">
        <v>42</v>
      </c>
      <c r="AV69" s="1">
        <v>88.2</v>
      </c>
      <c r="AX69" s="1">
        <f t="shared" si="0"/>
        <v>28.175000000000004</v>
      </c>
    </row>
    <row r="70" spans="3:50" x14ac:dyDescent="0.25">
      <c r="C70" s="2" t="s">
        <v>42</v>
      </c>
      <c r="I70" s="2" t="s">
        <v>42</v>
      </c>
      <c r="J70" s="2" t="s">
        <v>42</v>
      </c>
      <c r="M70" s="2" t="s">
        <v>42</v>
      </c>
      <c r="N70" s="2" t="s">
        <v>42</v>
      </c>
      <c r="P70" s="2" t="s">
        <v>42</v>
      </c>
      <c r="Q70" s="2" t="s">
        <v>42</v>
      </c>
      <c r="R70" s="2" t="s">
        <v>42</v>
      </c>
      <c r="S70" s="2" t="s">
        <v>42</v>
      </c>
      <c r="T70" s="2" t="s">
        <v>42</v>
      </c>
      <c r="U70" s="2" t="s">
        <v>42</v>
      </c>
      <c r="W70" s="9">
        <v>2.1722222222222225</v>
      </c>
      <c r="AB70" s="2" t="s">
        <v>42</v>
      </c>
      <c r="AD70" s="2" t="s">
        <v>42</v>
      </c>
      <c r="AG70" s="2" t="s">
        <v>44</v>
      </c>
      <c r="AH70" s="2" t="s">
        <v>312</v>
      </c>
      <c r="AI70" s="2" t="s">
        <v>313</v>
      </c>
      <c r="AJ70" s="2" t="s">
        <v>42</v>
      </c>
      <c r="AK70" s="2" t="s">
        <v>314</v>
      </c>
      <c r="AL70" s="2" t="s">
        <v>85</v>
      </c>
      <c r="AM70" s="2" t="s">
        <v>315</v>
      </c>
      <c r="AN70" s="2" t="s">
        <v>42</v>
      </c>
      <c r="AO70" s="8" t="s">
        <v>42</v>
      </c>
      <c r="AV70" s="1">
        <v>9.9</v>
      </c>
      <c r="AX70" s="1">
        <f t="shared" si="0"/>
        <v>3.1625000000000005</v>
      </c>
    </row>
    <row r="71" spans="3:50" x14ac:dyDescent="0.25">
      <c r="C71" s="2" t="s">
        <v>42</v>
      </c>
      <c r="I71" s="2" t="s">
        <v>42</v>
      </c>
      <c r="J71" s="2" t="s">
        <v>42</v>
      </c>
      <c r="M71" s="2" t="s">
        <v>42</v>
      </c>
      <c r="N71" s="2" t="s">
        <v>42</v>
      </c>
      <c r="P71" s="2" t="s">
        <v>42</v>
      </c>
      <c r="Q71" s="2" t="s">
        <v>42</v>
      </c>
      <c r="R71" s="2" t="s">
        <v>42</v>
      </c>
      <c r="S71" s="2" t="s">
        <v>42</v>
      </c>
      <c r="T71" s="2" t="s">
        <v>42</v>
      </c>
      <c r="U71" s="2" t="s">
        <v>42</v>
      </c>
      <c r="W71" s="9">
        <v>18.208333333333336</v>
      </c>
      <c r="AB71" s="2" t="s">
        <v>42</v>
      </c>
      <c r="AD71" s="2" t="s">
        <v>42</v>
      </c>
      <c r="AG71" s="2" t="s">
        <v>44</v>
      </c>
      <c r="AH71" s="2" t="s">
        <v>316</v>
      </c>
      <c r="AI71" s="2" t="s">
        <v>317</v>
      </c>
      <c r="AJ71" s="2" t="s">
        <v>42</v>
      </c>
      <c r="AK71" s="2" t="s">
        <v>318</v>
      </c>
      <c r="AL71" s="2" t="s">
        <v>85</v>
      </c>
      <c r="AM71" s="2" t="s">
        <v>319</v>
      </c>
      <c r="AN71" s="2" t="s">
        <v>42</v>
      </c>
      <c r="AO71" s="8" t="s">
        <v>42</v>
      </c>
      <c r="AV71" s="1">
        <v>5.0999999999999996</v>
      </c>
      <c r="AX71" s="1">
        <f t="shared" si="0"/>
        <v>1.6291666666666667</v>
      </c>
    </row>
    <row r="72" spans="3:50" x14ac:dyDescent="0.25">
      <c r="C72" s="2" t="s">
        <v>42</v>
      </c>
      <c r="I72" s="2" t="s">
        <v>42</v>
      </c>
      <c r="J72" s="2" t="s">
        <v>42</v>
      </c>
      <c r="M72" s="2" t="s">
        <v>42</v>
      </c>
      <c r="N72" s="2" t="s">
        <v>42</v>
      </c>
      <c r="P72" s="2" t="s">
        <v>42</v>
      </c>
      <c r="Q72" s="2" t="s">
        <v>42</v>
      </c>
      <c r="R72" s="2" t="s">
        <v>42</v>
      </c>
      <c r="S72" s="2" t="s">
        <v>42</v>
      </c>
      <c r="T72" s="2" t="s">
        <v>42</v>
      </c>
      <c r="U72" s="2" t="s">
        <v>42</v>
      </c>
      <c r="W72" s="9">
        <v>6.0694444444444446</v>
      </c>
      <c r="AB72" s="2" t="s">
        <v>42</v>
      </c>
      <c r="AD72" s="2" t="s">
        <v>42</v>
      </c>
      <c r="AG72" s="2" t="s">
        <v>44</v>
      </c>
      <c r="AH72" s="2" t="s">
        <v>320</v>
      </c>
      <c r="AI72" s="2" t="s">
        <v>321</v>
      </c>
      <c r="AJ72" s="2" t="s">
        <v>42</v>
      </c>
      <c r="AK72" s="2" t="s">
        <v>322</v>
      </c>
      <c r="AL72" s="2" t="s">
        <v>85</v>
      </c>
      <c r="AM72" s="2" t="s">
        <v>323</v>
      </c>
      <c r="AN72" s="2" t="s">
        <v>42</v>
      </c>
      <c r="AO72" s="8" t="s">
        <v>42</v>
      </c>
      <c r="AV72" s="1">
        <v>20.3</v>
      </c>
      <c r="AX72" s="1">
        <f t="shared" ref="AX72:AX96" si="1">$AU$7*AV72</f>
        <v>6.4847222222222234</v>
      </c>
    </row>
    <row r="73" spans="3:50" x14ac:dyDescent="0.25">
      <c r="C73" s="2" t="s">
        <v>42</v>
      </c>
      <c r="I73" s="2" t="s">
        <v>42</v>
      </c>
      <c r="J73" s="2" t="s">
        <v>42</v>
      </c>
      <c r="M73" s="2" t="s">
        <v>42</v>
      </c>
      <c r="N73" s="2" t="s">
        <v>42</v>
      </c>
      <c r="P73" s="2" t="s">
        <v>42</v>
      </c>
      <c r="Q73" s="2" t="s">
        <v>42</v>
      </c>
      <c r="R73" s="2" t="s">
        <v>42</v>
      </c>
      <c r="S73" s="2" t="s">
        <v>42</v>
      </c>
      <c r="T73" s="2" t="s">
        <v>42</v>
      </c>
      <c r="U73" s="2" t="s">
        <v>42</v>
      </c>
      <c r="W73" s="9">
        <v>1.5972222222222223</v>
      </c>
      <c r="AB73" s="2" t="s">
        <v>42</v>
      </c>
      <c r="AD73" s="2" t="s">
        <v>42</v>
      </c>
      <c r="AG73" s="2" t="s">
        <v>44</v>
      </c>
      <c r="AH73" s="2" t="s">
        <v>324</v>
      </c>
      <c r="AI73" s="2" t="s">
        <v>325</v>
      </c>
      <c r="AJ73" s="2" t="s">
        <v>42</v>
      </c>
      <c r="AK73" s="2" t="s">
        <v>326</v>
      </c>
      <c r="AL73" s="2" t="s">
        <v>48</v>
      </c>
      <c r="AM73" s="2" t="s">
        <v>327</v>
      </c>
      <c r="AN73" s="2" t="s">
        <v>42</v>
      </c>
      <c r="AO73" s="8" t="s">
        <v>42</v>
      </c>
      <c r="AV73" s="1">
        <v>6.8</v>
      </c>
      <c r="AX73" s="1">
        <f t="shared" si="1"/>
        <v>2.1722222222222225</v>
      </c>
    </row>
    <row r="74" spans="3:50" x14ac:dyDescent="0.25">
      <c r="C74" s="2" t="s">
        <v>42</v>
      </c>
      <c r="I74" s="2" t="s">
        <v>42</v>
      </c>
      <c r="J74" s="2" t="s">
        <v>42</v>
      </c>
      <c r="M74" s="2" t="s">
        <v>42</v>
      </c>
      <c r="N74" s="2" t="s">
        <v>42</v>
      </c>
      <c r="P74" s="2" t="s">
        <v>42</v>
      </c>
      <c r="Q74" s="2" t="s">
        <v>42</v>
      </c>
      <c r="R74" s="2" t="s">
        <v>42</v>
      </c>
      <c r="S74" s="2" t="s">
        <v>42</v>
      </c>
      <c r="T74" s="2" t="s">
        <v>42</v>
      </c>
      <c r="U74" s="2" t="s">
        <v>42</v>
      </c>
      <c r="W74" s="9">
        <v>8.2097222222222221</v>
      </c>
      <c r="AB74" s="2" t="s">
        <v>42</v>
      </c>
      <c r="AD74" s="2" t="s">
        <v>42</v>
      </c>
      <c r="AG74" s="2" t="s">
        <v>44</v>
      </c>
      <c r="AH74" s="2" t="s">
        <v>328</v>
      </c>
      <c r="AI74" s="2" t="s">
        <v>329</v>
      </c>
      <c r="AJ74" s="2" t="s">
        <v>42</v>
      </c>
      <c r="AK74" s="2" t="s">
        <v>330</v>
      </c>
      <c r="AL74" s="2" t="s">
        <v>48</v>
      </c>
      <c r="AM74" s="2" t="s">
        <v>331</v>
      </c>
      <c r="AN74" s="2" t="s">
        <v>42</v>
      </c>
      <c r="AO74" s="8" t="s">
        <v>42</v>
      </c>
      <c r="AV74" s="1">
        <v>57</v>
      </c>
      <c r="AX74" s="1">
        <f t="shared" si="1"/>
        <v>18.208333333333336</v>
      </c>
    </row>
    <row r="75" spans="3:50" x14ac:dyDescent="0.25">
      <c r="C75" s="2" t="s">
        <v>42</v>
      </c>
      <c r="I75" s="2" t="s">
        <v>42</v>
      </c>
      <c r="J75" s="2" t="s">
        <v>42</v>
      </c>
      <c r="M75" s="2" t="s">
        <v>42</v>
      </c>
      <c r="N75" s="2" t="s">
        <v>42</v>
      </c>
      <c r="P75" s="2" t="s">
        <v>42</v>
      </c>
      <c r="Q75" s="2" t="s">
        <v>42</v>
      </c>
      <c r="R75" s="2" t="s">
        <v>42</v>
      </c>
      <c r="S75" s="2" t="s">
        <v>42</v>
      </c>
      <c r="T75" s="2" t="s">
        <v>42</v>
      </c>
      <c r="U75" s="2" t="s">
        <v>42</v>
      </c>
      <c r="W75" s="9">
        <v>5.7180555555555559</v>
      </c>
      <c r="AB75" s="2" t="s">
        <v>42</v>
      </c>
      <c r="AD75" s="2" t="s">
        <v>42</v>
      </c>
      <c r="AG75" s="2" t="s">
        <v>44</v>
      </c>
      <c r="AH75" s="2" t="s">
        <v>332</v>
      </c>
      <c r="AI75" s="2" t="s">
        <v>333</v>
      </c>
      <c r="AJ75" s="2" t="s">
        <v>42</v>
      </c>
      <c r="AK75" s="2" t="s">
        <v>334</v>
      </c>
      <c r="AL75" s="2" t="s">
        <v>122</v>
      </c>
      <c r="AM75" s="2" t="s">
        <v>335</v>
      </c>
      <c r="AN75" s="2" t="s">
        <v>42</v>
      </c>
      <c r="AO75" s="8" t="s">
        <v>42</v>
      </c>
      <c r="AV75" s="1">
        <v>19</v>
      </c>
      <c r="AX75" s="1">
        <f t="shared" si="1"/>
        <v>6.0694444444444446</v>
      </c>
    </row>
    <row r="76" spans="3:50" x14ac:dyDescent="0.25">
      <c r="C76" s="2" t="s">
        <v>42</v>
      </c>
      <c r="I76" s="2" t="s">
        <v>42</v>
      </c>
      <c r="J76" s="2" t="s">
        <v>42</v>
      </c>
      <c r="M76" s="2" t="s">
        <v>42</v>
      </c>
      <c r="N76" s="2" t="s">
        <v>42</v>
      </c>
      <c r="P76" s="2" t="s">
        <v>42</v>
      </c>
      <c r="Q76" s="2" t="s">
        <v>42</v>
      </c>
      <c r="R76" s="2" t="s">
        <v>42</v>
      </c>
      <c r="S76" s="2" t="s">
        <v>42</v>
      </c>
      <c r="T76" s="2" t="s">
        <v>42</v>
      </c>
      <c r="U76" s="2" t="s">
        <v>42</v>
      </c>
      <c r="W76" s="9">
        <v>11.436111111111112</v>
      </c>
      <c r="AB76" s="2" t="s">
        <v>42</v>
      </c>
      <c r="AD76" s="2" t="s">
        <v>42</v>
      </c>
      <c r="AG76" s="2" t="s">
        <v>44</v>
      </c>
      <c r="AH76" s="2" t="s">
        <v>336</v>
      </c>
      <c r="AI76" s="2" t="s">
        <v>337</v>
      </c>
      <c r="AJ76" s="2" t="s">
        <v>42</v>
      </c>
      <c r="AK76" s="2" t="s">
        <v>338</v>
      </c>
      <c r="AL76" s="2" t="s">
        <v>48</v>
      </c>
      <c r="AM76" s="2" t="s">
        <v>339</v>
      </c>
      <c r="AN76" s="2" t="s">
        <v>42</v>
      </c>
      <c r="AO76" s="8" t="s">
        <v>42</v>
      </c>
      <c r="AV76" s="1">
        <v>5</v>
      </c>
      <c r="AX76" s="1">
        <f t="shared" si="1"/>
        <v>1.5972222222222223</v>
      </c>
    </row>
    <row r="77" spans="3:50" x14ac:dyDescent="0.25">
      <c r="C77" s="2" t="s">
        <v>42</v>
      </c>
      <c r="I77" s="2" t="s">
        <v>42</v>
      </c>
      <c r="J77" s="2" t="s">
        <v>42</v>
      </c>
      <c r="M77" s="2" t="s">
        <v>42</v>
      </c>
      <c r="N77" s="2" t="s">
        <v>42</v>
      </c>
      <c r="P77" s="2" t="s">
        <v>42</v>
      </c>
      <c r="Q77" s="2" t="s">
        <v>42</v>
      </c>
      <c r="R77" s="2" t="s">
        <v>42</v>
      </c>
      <c r="S77" s="2" t="s">
        <v>42</v>
      </c>
      <c r="T77" s="2" t="s">
        <v>42</v>
      </c>
      <c r="U77" s="2" t="s">
        <v>42</v>
      </c>
      <c r="W77" s="9">
        <v>1.4055555555555559</v>
      </c>
      <c r="AB77" s="2" t="s">
        <v>42</v>
      </c>
      <c r="AD77" s="2" t="s">
        <v>42</v>
      </c>
      <c r="AG77" s="2" t="s">
        <v>44</v>
      </c>
      <c r="AH77" s="2" t="s">
        <v>340</v>
      </c>
      <c r="AI77" s="2" t="s">
        <v>341</v>
      </c>
      <c r="AJ77" s="2" t="s">
        <v>42</v>
      </c>
      <c r="AK77" s="2" t="s">
        <v>342</v>
      </c>
      <c r="AL77" s="2" t="s">
        <v>48</v>
      </c>
      <c r="AM77" s="2" t="s">
        <v>343</v>
      </c>
      <c r="AN77" s="2" t="s">
        <v>42</v>
      </c>
      <c r="AO77" s="8" t="s">
        <v>42</v>
      </c>
      <c r="AV77" s="1">
        <v>25.7</v>
      </c>
      <c r="AX77" s="1">
        <f t="shared" si="1"/>
        <v>8.2097222222222221</v>
      </c>
    </row>
    <row r="78" spans="3:50" x14ac:dyDescent="0.25">
      <c r="C78" s="2" t="s">
        <v>42</v>
      </c>
      <c r="I78" s="2" t="s">
        <v>42</v>
      </c>
      <c r="J78" s="2" t="s">
        <v>42</v>
      </c>
      <c r="M78" s="2" t="s">
        <v>42</v>
      </c>
      <c r="N78" s="2" t="s">
        <v>42</v>
      </c>
      <c r="P78" s="2" t="s">
        <v>42</v>
      </c>
      <c r="Q78" s="2" t="s">
        <v>42</v>
      </c>
      <c r="R78" s="2" t="s">
        <v>42</v>
      </c>
      <c r="S78" s="2" t="s">
        <v>42</v>
      </c>
      <c r="T78" s="2" t="s">
        <v>42</v>
      </c>
      <c r="U78" s="2" t="s">
        <v>42</v>
      </c>
      <c r="W78" s="9">
        <v>7.9861111111111116</v>
      </c>
      <c r="AB78" s="2" t="s">
        <v>42</v>
      </c>
      <c r="AD78" s="2" t="s">
        <v>42</v>
      </c>
      <c r="AG78" s="2" t="s">
        <v>44</v>
      </c>
      <c r="AH78" s="2" t="s">
        <v>344</v>
      </c>
      <c r="AI78" s="2" t="s">
        <v>345</v>
      </c>
      <c r="AJ78" s="2" t="s">
        <v>42</v>
      </c>
      <c r="AK78" s="2" t="s">
        <v>346</v>
      </c>
      <c r="AL78" s="2" t="s">
        <v>85</v>
      </c>
      <c r="AM78" s="2" t="s">
        <v>347</v>
      </c>
      <c r="AN78" s="2" t="s">
        <v>42</v>
      </c>
      <c r="AO78" s="8" t="s">
        <v>42</v>
      </c>
      <c r="AV78" s="1">
        <v>17.899999999999999</v>
      </c>
      <c r="AX78" s="1">
        <f t="shared" si="1"/>
        <v>5.7180555555555559</v>
      </c>
    </row>
    <row r="79" spans="3:50" x14ac:dyDescent="0.25">
      <c r="C79" s="2" t="s">
        <v>42</v>
      </c>
      <c r="I79" s="2" t="s">
        <v>42</v>
      </c>
      <c r="J79" s="2" t="s">
        <v>42</v>
      </c>
      <c r="M79" s="2" t="s">
        <v>42</v>
      </c>
      <c r="N79" s="2" t="s">
        <v>42</v>
      </c>
      <c r="P79" s="2" t="s">
        <v>42</v>
      </c>
      <c r="Q79" s="2" t="s">
        <v>42</v>
      </c>
      <c r="R79" s="2" t="s">
        <v>42</v>
      </c>
      <c r="S79" s="2" t="s">
        <v>42</v>
      </c>
      <c r="T79" s="2" t="s">
        <v>42</v>
      </c>
      <c r="U79" s="2" t="s">
        <v>42</v>
      </c>
      <c r="W79" s="9">
        <v>8.2736111111111121</v>
      </c>
      <c r="AB79" s="2" t="s">
        <v>42</v>
      </c>
      <c r="AD79" s="2" t="s">
        <v>42</v>
      </c>
      <c r="AG79" s="2" t="s">
        <v>44</v>
      </c>
      <c r="AH79" s="2" t="s">
        <v>348</v>
      </c>
      <c r="AI79" s="2" t="s">
        <v>349</v>
      </c>
      <c r="AJ79" s="2" t="s">
        <v>42</v>
      </c>
      <c r="AK79" s="2" t="s">
        <v>350</v>
      </c>
      <c r="AL79" s="2" t="s">
        <v>48</v>
      </c>
      <c r="AM79" s="2" t="s">
        <v>351</v>
      </c>
      <c r="AN79" s="2" t="s">
        <v>42</v>
      </c>
      <c r="AO79" s="8" t="s">
        <v>42</v>
      </c>
      <c r="AV79" s="1">
        <v>35.799999999999997</v>
      </c>
      <c r="AX79" s="1">
        <f t="shared" si="1"/>
        <v>11.436111111111112</v>
      </c>
    </row>
    <row r="80" spans="3:50" x14ac:dyDescent="0.25">
      <c r="C80" s="2" t="s">
        <v>42</v>
      </c>
      <c r="I80" s="2" t="s">
        <v>42</v>
      </c>
      <c r="J80" s="2" t="s">
        <v>42</v>
      </c>
      <c r="M80" s="2" t="s">
        <v>42</v>
      </c>
      <c r="N80" s="2" t="s">
        <v>42</v>
      </c>
      <c r="P80" s="2" t="s">
        <v>42</v>
      </c>
      <c r="Q80" s="2" t="s">
        <v>42</v>
      </c>
      <c r="R80" s="2" t="s">
        <v>42</v>
      </c>
      <c r="S80" s="2" t="s">
        <v>42</v>
      </c>
      <c r="T80" s="2" t="s">
        <v>42</v>
      </c>
      <c r="U80" s="2" t="s">
        <v>42</v>
      </c>
      <c r="W80" s="9">
        <v>1.9486111111111113</v>
      </c>
      <c r="AB80" s="2" t="s">
        <v>42</v>
      </c>
      <c r="AD80" s="2" t="s">
        <v>42</v>
      </c>
      <c r="AG80" s="2" t="s">
        <v>44</v>
      </c>
      <c r="AH80" s="2" t="s">
        <v>352</v>
      </c>
      <c r="AI80" s="2" t="s">
        <v>353</v>
      </c>
      <c r="AJ80" s="2" t="s">
        <v>42</v>
      </c>
      <c r="AK80" s="2" t="s">
        <v>354</v>
      </c>
      <c r="AL80" s="2" t="s">
        <v>85</v>
      </c>
      <c r="AM80" s="2" t="s">
        <v>355</v>
      </c>
      <c r="AN80" s="2" t="s">
        <v>42</v>
      </c>
      <c r="AO80" s="8" t="s">
        <v>42</v>
      </c>
      <c r="AV80" s="1">
        <v>4.4000000000000004</v>
      </c>
      <c r="AX80" s="1">
        <f t="shared" si="1"/>
        <v>1.4055555555555559</v>
      </c>
    </row>
    <row r="81" spans="3:50" x14ac:dyDescent="0.25">
      <c r="C81" s="2" t="s">
        <v>42</v>
      </c>
      <c r="I81" s="2" t="s">
        <v>42</v>
      </c>
      <c r="J81" s="2" t="s">
        <v>42</v>
      </c>
      <c r="M81" s="2" t="s">
        <v>42</v>
      </c>
      <c r="N81" s="2" t="s">
        <v>42</v>
      </c>
      <c r="P81" s="2" t="s">
        <v>42</v>
      </c>
      <c r="Q81" s="2" t="s">
        <v>42</v>
      </c>
      <c r="R81" s="2" t="s">
        <v>42</v>
      </c>
      <c r="S81" s="2" t="s">
        <v>42</v>
      </c>
      <c r="T81" s="2" t="s">
        <v>42</v>
      </c>
      <c r="U81" s="2" t="s">
        <v>42</v>
      </c>
      <c r="W81" s="9">
        <v>5.9416666666666673</v>
      </c>
      <c r="AB81" s="2" t="s">
        <v>42</v>
      </c>
      <c r="AD81" s="2" t="s">
        <v>42</v>
      </c>
      <c r="AG81" s="2" t="s">
        <v>44</v>
      </c>
      <c r="AH81" s="2" t="s">
        <v>356</v>
      </c>
      <c r="AI81" s="2" t="s">
        <v>357</v>
      </c>
      <c r="AJ81" s="2" t="s">
        <v>42</v>
      </c>
      <c r="AK81" s="2" t="s">
        <v>358</v>
      </c>
      <c r="AL81" s="2" t="s">
        <v>48</v>
      </c>
      <c r="AM81" s="2" t="s">
        <v>359</v>
      </c>
      <c r="AN81" s="2" t="s">
        <v>42</v>
      </c>
      <c r="AO81" s="8" t="s">
        <v>42</v>
      </c>
      <c r="AV81" s="1">
        <v>25</v>
      </c>
      <c r="AX81" s="1">
        <f t="shared" si="1"/>
        <v>7.9861111111111116</v>
      </c>
    </row>
    <row r="82" spans="3:50" x14ac:dyDescent="0.25">
      <c r="C82" s="2" t="s">
        <v>42</v>
      </c>
      <c r="I82" s="2" t="s">
        <v>42</v>
      </c>
      <c r="J82" s="2" t="s">
        <v>42</v>
      </c>
      <c r="M82" s="2" t="s">
        <v>42</v>
      </c>
      <c r="N82" s="2" t="s">
        <v>42</v>
      </c>
      <c r="P82" s="2" t="s">
        <v>42</v>
      </c>
      <c r="Q82" s="2" t="s">
        <v>42</v>
      </c>
      <c r="R82" s="2" t="s">
        <v>42</v>
      </c>
      <c r="S82" s="2" t="s">
        <v>42</v>
      </c>
      <c r="T82" s="2" t="s">
        <v>42</v>
      </c>
      <c r="U82" s="2" t="s">
        <v>42</v>
      </c>
      <c r="W82" s="9">
        <v>14.950000000000001</v>
      </c>
      <c r="AB82" s="2" t="s">
        <v>42</v>
      </c>
      <c r="AD82" s="2" t="s">
        <v>42</v>
      </c>
      <c r="AG82" s="2" t="s">
        <v>44</v>
      </c>
      <c r="AH82" s="2" t="s">
        <v>360</v>
      </c>
      <c r="AI82" s="2" t="s">
        <v>361</v>
      </c>
      <c r="AJ82" s="2" t="s">
        <v>42</v>
      </c>
      <c r="AK82" s="2" t="s">
        <v>362</v>
      </c>
      <c r="AL82" s="2" t="s">
        <v>48</v>
      </c>
      <c r="AM82" s="2" t="s">
        <v>363</v>
      </c>
      <c r="AN82" s="2" t="s">
        <v>42</v>
      </c>
      <c r="AO82" s="8" t="s">
        <v>42</v>
      </c>
      <c r="AV82" s="1">
        <v>25.9</v>
      </c>
      <c r="AX82" s="1">
        <f t="shared" si="1"/>
        <v>8.2736111111111121</v>
      </c>
    </row>
    <row r="83" spans="3:50" x14ac:dyDescent="0.25">
      <c r="C83" s="2" t="s">
        <v>42</v>
      </c>
      <c r="I83" s="2" t="s">
        <v>42</v>
      </c>
      <c r="J83" s="2" t="s">
        <v>42</v>
      </c>
      <c r="M83" s="2" t="s">
        <v>42</v>
      </c>
      <c r="N83" s="2" t="s">
        <v>42</v>
      </c>
      <c r="P83" s="2" t="s">
        <v>42</v>
      </c>
      <c r="Q83" s="2" t="s">
        <v>42</v>
      </c>
      <c r="R83" s="2" t="s">
        <v>42</v>
      </c>
      <c r="S83" s="2" t="s">
        <v>42</v>
      </c>
      <c r="T83" s="2" t="s">
        <v>42</v>
      </c>
      <c r="U83" s="2" t="s">
        <v>42</v>
      </c>
      <c r="W83" s="9">
        <v>1.4055555555555559</v>
      </c>
      <c r="AB83" s="2" t="s">
        <v>42</v>
      </c>
      <c r="AD83" s="2" t="s">
        <v>42</v>
      </c>
      <c r="AG83" s="2" t="s">
        <v>44</v>
      </c>
      <c r="AH83" s="2" t="s">
        <v>364</v>
      </c>
      <c r="AI83" s="2" t="s">
        <v>365</v>
      </c>
      <c r="AJ83" s="2" t="s">
        <v>42</v>
      </c>
      <c r="AK83" s="2" t="s">
        <v>366</v>
      </c>
      <c r="AL83" s="2" t="s">
        <v>48</v>
      </c>
      <c r="AM83" s="2" t="s">
        <v>367</v>
      </c>
      <c r="AN83" s="2" t="s">
        <v>42</v>
      </c>
      <c r="AO83" s="8" t="s">
        <v>42</v>
      </c>
      <c r="AV83" s="1">
        <v>6.1</v>
      </c>
      <c r="AX83" s="1">
        <f t="shared" si="1"/>
        <v>1.9486111111111113</v>
      </c>
    </row>
    <row r="84" spans="3:50" x14ac:dyDescent="0.25">
      <c r="C84" s="2" t="s">
        <v>42</v>
      </c>
      <c r="I84" s="2" t="s">
        <v>42</v>
      </c>
      <c r="J84" s="2" t="s">
        <v>42</v>
      </c>
      <c r="M84" s="2" t="s">
        <v>42</v>
      </c>
      <c r="N84" s="2" t="s">
        <v>42</v>
      </c>
      <c r="P84" s="2" t="s">
        <v>42</v>
      </c>
      <c r="Q84" s="2" t="s">
        <v>42</v>
      </c>
      <c r="R84" s="2" t="s">
        <v>42</v>
      </c>
      <c r="S84" s="2" t="s">
        <v>42</v>
      </c>
      <c r="T84" s="2" t="s">
        <v>42</v>
      </c>
      <c r="U84" s="2" t="s">
        <v>42</v>
      </c>
      <c r="W84" s="9">
        <v>14.886111111111113</v>
      </c>
      <c r="AB84" s="2" t="s">
        <v>42</v>
      </c>
      <c r="AD84" s="2" t="s">
        <v>42</v>
      </c>
      <c r="AG84" s="2" t="s">
        <v>44</v>
      </c>
      <c r="AH84" s="2" t="s">
        <v>368</v>
      </c>
      <c r="AI84" s="2" t="s">
        <v>369</v>
      </c>
      <c r="AJ84" s="2" t="s">
        <v>42</v>
      </c>
      <c r="AK84" s="2" t="s">
        <v>370</v>
      </c>
      <c r="AL84" s="2" t="s">
        <v>48</v>
      </c>
      <c r="AM84" s="2" t="s">
        <v>371</v>
      </c>
      <c r="AN84" s="2" t="s">
        <v>42</v>
      </c>
      <c r="AO84" s="8" t="s">
        <v>42</v>
      </c>
      <c r="AV84" s="1">
        <v>18.600000000000001</v>
      </c>
      <c r="AX84" s="1">
        <f t="shared" si="1"/>
        <v>5.9416666666666673</v>
      </c>
    </row>
    <row r="85" spans="3:50" x14ac:dyDescent="0.25">
      <c r="C85" s="2" t="s">
        <v>42</v>
      </c>
      <c r="I85" s="2" t="s">
        <v>42</v>
      </c>
      <c r="J85" s="2" t="s">
        <v>42</v>
      </c>
      <c r="M85" s="2" t="s">
        <v>42</v>
      </c>
      <c r="N85" s="2" t="s">
        <v>42</v>
      </c>
      <c r="P85" s="2" t="s">
        <v>42</v>
      </c>
      <c r="Q85" s="2" t="s">
        <v>42</v>
      </c>
      <c r="R85" s="2" t="s">
        <v>42</v>
      </c>
      <c r="S85" s="2" t="s">
        <v>42</v>
      </c>
      <c r="T85" s="2" t="s">
        <v>42</v>
      </c>
      <c r="U85" s="2" t="s">
        <v>42</v>
      </c>
      <c r="W85" s="9">
        <v>2.6833333333333336</v>
      </c>
      <c r="AB85" s="2" t="s">
        <v>42</v>
      </c>
      <c r="AD85" s="2" t="s">
        <v>42</v>
      </c>
      <c r="AG85" s="2" t="s">
        <v>44</v>
      </c>
      <c r="AH85" s="2" t="s">
        <v>372</v>
      </c>
      <c r="AI85" s="2" t="s">
        <v>373</v>
      </c>
      <c r="AJ85" s="2" t="s">
        <v>42</v>
      </c>
      <c r="AK85" s="2" t="s">
        <v>374</v>
      </c>
      <c r="AL85" s="2" t="s">
        <v>85</v>
      </c>
      <c r="AM85" s="2" t="s">
        <v>375</v>
      </c>
      <c r="AN85" s="2" t="s">
        <v>42</v>
      </c>
      <c r="AO85" s="8" t="s">
        <v>42</v>
      </c>
      <c r="AV85" s="1">
        <v>46.8</v>
      </c>
      <c r="AX85" s="1">
        <f t="shared" si="1"/>
        <v>14.950000000000001</v>
      </c>
    </row>
    <row r="86" spans="3:50" x14ac:dyDescent="0.25">
      <c r="C86" s="2" t="s">
        <v>42</v>
      </c>
      <c r="I86" s="2" t="s">
        <v>42</v>
      </c>
      <c r="J86" s="2" t="s">
        <v>42</v>
      </c>
      <c r="M86" s="2" t="s">
        <v>42</v>
      </c>
      <c r="N86" s="2" t="s">
        <v>42</v>
      </c>
      <c r="P86" s="2" t="s">
        <v>42</v>
      </c>
      <c r="Q86" s="2" t="s">
        <v>42</v>
      </c>
      <c r="R86" s="2" t="s">
        <v>42</v>
      </c>
      <c r="S86" s="2" t="s">
        <v>42</v>
      </c>
      <c r="T86" s="2" t="s">
        <v>42</v>
      </c>
      <c r="U86" s="2" t="s">
        <v>42</v>
      </c>
      <c r="W86" s="9">
        <v>4.0569444444444445</v>
      </c>
      <c r="AB86" s="2" t="s">
        <v>42</v>
      </c>
      <c r="AD86" s="2" t="s">
        <v>42</v>
      </c>
      <c r="AG86" s="2" t="s">
        <v>44</v>
      </c>
      <c r="AH86" s="2" t="s">
        <v>376</v>
      </c>
      <c r="AI86" s="2" t="s">
        <v>377</v>
      </c>
      <c r="AJ86" s="2" t="s">
        <v>42</v>
      </c>
      <c r="AK86" s="2" t="s">
        <v>378</v>
      </c>
      <c r="AL86" s="2" t="s">
        <v>122</v>
      </c>
      <c r="AM86" s="2" t="s">
        <v>379</v>
      </c>
      <c r="AN86" s="2" t="s">
        <v>42</v>
      </c>
      <c r="AO86" s="8" t="s">
        <v>42</v>
      </c>
      <c r="AV86" s="1">
        <v>4.4000000000000004</v>
      </c>
      <c r="AX86" s="1">
        <f t="shared" si="1"/>
        <v>1.4055555555555559</v>
      </c>
    </row>
    <row r="87" spans="3:50" x14ac:dyDescent="0.25">
      <c r="C87" s="2" t="s">
        <v>42</v>
      </c>
      <c r="I87" s="2" t="s">
        <v>42</v>
      </c>
      <c r="J87" s="2" t="s">
        <v>42</v>
      </c>
      <c r="M87" s="2" t="s">
        <v>42</v>
      </c>
      <c r="N87" s="2" t="s">
        <v>42</v>
      </c>
      <c r="P87" s="2" t="s">
        <v>42</v>
      </c>
      <c r="Q87" s="2" t="s">
        <v>42</v>
      </c>
      <c r="R87" s="2" t="s">
        <v>42</v>
      </c>
      <c r="S87" s="2" t="s">
        <v>42</v>
      </c>
      <c r="T87" s="2" t="s">
        <v>42</v>
      </c>
      <c r="U87" s="2" t="s">
        <v>42</v>
      </c>
      <c r="W87" s="9">
        <v>17.345833333333335</v>
      </c>
      <c r="AB87" s="2" t="s">
        <v>42</v>
      </c>
      <c r="AD87" s="2" t="s">
        <v>42</v>
      </c>
      <c r="AG87" s="2" t="s">
        <v>44</v>
      </c>
      <c r="AH87" s="2" t="s">
        <v>380</v>
      </c>
      <c r="AI87" s="2" t="s">
        <v>381</v>
      </c>
      <c r="AJ87" s="2" t="s">
        <v>42</v>
      </c>
      <c r="AK87" s="2" t="s">
        <v>382</v>
      </c>
      <c r="AL87" s="2" t="s">
        <v>85</v>
      </c>
      <c r="AM87" s="2" t="s">
        <v>383</v>
      </c>
      <c r="AN87" s="2" t="s">
        <v>42</v>
      </c>
      <c r="AO87" s="8" t="s">
        <v>42</v>
      </c>
      <c r="AV87" s="1">
        <v>46.6</v>
      </c>
      <c r="AX87" s="1">
        <f t="shared" si="1"/>
        <v>14.886111111111113</v>
      </c>
    </row>
    <row r="88" spans="3:50" x14ac:dyDescent="0.25">
      <c r="C88" s="2" t="s">
        <v>42</v>
      </c>
      <c r="I88" s="2" t="s">
        <v>42</v>
      </c>
      <c r="J88" s="2" t="s">
        <v>42</v>
      </c>
      <c r="M88" s="2" t="s">
        <v>42</v>
      </c>
      <c r="N88" s="2" t="s">
        <v>42</v>
      </c>
      <c r="P88" s="2" t="s">
        <v>42</v>
      </c>
      <c r="Q88" s="2" t="s">
        <v>42</v>
      </c>
      <c r="R88" s="2" t="s">
        <v>42</v>
      </c>
      <c r="S88" s="2" t="s">
        <v>42</v>
      </c>
      <c r="T88" s="2" t="s">
        <v>42</v>
      </c>
      <c r="U88" s="2" t="s">
        <v>42</v>
      </c>
      <c r="W88" s="9">
        <v>12.138888888888889</v>
      </c>
      <c r="AB88" s="2" t="s">
        <v>42</v>
      </c>
      <c r="AD88" s="2" t="s">
        <v>42</v>
      </c>
      <c r="AG88" s="2" t="s">
        <v>44</v>
      </c>
      <c r="AH88" s="2" t="s">
        <v>384</v>
      </c>
      <c r="AI88" s="2" t="s">
        <v>385</v>
      </c>
      <c r="AJ88" s="2" t="s">
        <v>42</v>
      </c>
      <c r="AK88" s="2" t="s">
        <v>386</v>
      </c>
      <c r="AL88" s="2" t="s">
        <v>48</v>
      </c>
      <c r="AM88" s="2" t="s">
        <v>387</v>
      </c>
      <c r="AN88" s="2" t="s">
        <v>42</v>
      </c>
      <c r="AO88" s="8" t="s">
        <v>42</v>
      </c>
      <c r="AV88" s="1">
        <v>8.4</v>
      </c>
      <c r="AX88" s="1">
        <f t="shared" si="1"/>
        <v>2.6833333333333336</v>
      </c>
    </row>
    <row r="89" spans="3:50" x14ac:dyDescent="0.25">
      <c r="C89" s="2" t="s">
        <v>42</v>
      </c>
      <c r="I89" s="2" t="s">
        <v>42</v>
      </c>
      <c r="J89" s="2" t="s">
        <v>42</v>
      </c>
      <c r="M89" s="2" t="s">
        <v>42</v>
      </c>
      <c r="N89" s="2" t="s">
        <v>42</v>
      </c>
      <c r="P89" s="2" t="s">
        <v>42</v>
      </c>
      <c r="Q89" s="2" t="s">
        <v>42</v>
      </c>
      <c r="R89" s="2" t="s">
        <v>42</v>
      </c>
      <c r="S89" s="2" t="s">
        <v>42</v>
      </c>
      <c r="T89" s="2" t="s">
        <v>42</v>
      </c>
      <c r="U89" s="2" t="s">
        <v>42</v>
      </c>
      <c r="W89" s="9">
        <v>3.8013888888888894</v>
      </c>
      <c r="AB89" s="2" t="s">
        <v>42</v>
      </c>
      <c r="AD89" s="2" t="s">
        <v>42</v>
      </c>
      <c r="AG89" s="2" t="s">
        <v>44</v>
      </c>
      <c r="AH89" s="2" t="s">
        <v>388</v>
      </c>
      <c r="AI89" s="2" t="s">
        <v>389</v>
      </c>
      <c r="AJ89" s="2" t="s">
        <v>42</v>
      </c>
      <c r="AK89" s="2" t="s">
        <v>390</v>
      </c>
      <c r="AL89" s="2" t="s">
        <v>48</v>
      </c>
      <c r="AM89" s="2" t="s">
        <v>391</v>
      </c>
      <c r="AN89" s="2" t="s">
        <v>42</v>
      </c>
      <c r="AO89" s="8" t="s">
        <v>42</v>
      </c>
      <c r="AV89" s="1">
        <v>12.7</v>
      </c>
      <c r="AX89" s="1">
        <f t="shared" si="1"/>
        <v>4.0569444444444445</v>
      </c>
    </row>
    <row r="90" spans="3:50" x14ac:dyDescent="0.25">
      <c r="C90" s="2" t="s">
        <v>42</v>
      </c>
      <c r="I90" s="2" t="s">
        <v>42</v>
      </c>
      <c r="J90" s="2" t="s">
        <v>42</v>
      </c>
      <c r="M90" s="2" t="s">
        <v>42</v>
      </c>
      <c r="N90" s="2" t="s">
        <v>42</v>
      </c>
      <c r="P90" s="2" t="s">
        <v>42</v>
      </c>
      <c r="Q90" s="2" t="s">
        <v>42</v>
      </c>
      <c r="R90" s="2" t="s">
        <v>42</v>
      </c>
      <c r="S90" s="2" t="s">
        <v>42</v>
      </c>
      <c r="T90" s="2" t="s">
        <v>42</v>
      </c>
      <c r="U90" s="2" t="s">
        <v>42</v>
      </c>
      <c r="W90" s="9">
        <v>11.723611111111113</v>
      </c>
      <c r="AB90" s="2" t="s">
        <v>42</v>
      </c>
      <c r="AD90" s="2" t="s">
        <v>42</v>
      </c>
      <c r="AG90" s="2" t="s">
        <v>44</v>
      </c>
      <c r="AH90" s="2" t="s">
        <v>392</v>
      </c>
      <c r="AI90" s="2" t="s">
        <v>393</v>
      </c>
      <c r="AJ90" s="2" t="s">
        <v>42</v>
      </c>
      <c r="AK90" s="2" t="s">
        <v>394</v>
      </c>
      <c r="AL90" s="2" t="s">
        <v>85</v>
      </c>
      <c r="AM90" s="2" t="s">
        <v>395</v>
      </c>
      <c r="AN90" s="2" t="s">
        <v>42</v>
      </c>
      <c r="AO90" s="8" t="s">
        <v>42</v>
      </c>
      <c r="AV90" s="1">
        <v>54.3</v>
      </c>
      <c r="AX90" s="1">
        <f t="shared" si="1"/>
        <v>17.345833333333335</v>
      </c>
    </row>
    <row r="91" spans="3:50" x14ac:dyDescent="0.25">
      <c r="C91" s="2" t="s">
        <v>42</v>
      </c>
      <c r="I91" s="2" t="s">
        <v>42</v>
      </c>
      <c r="J91" s="2" t="s">
        <v>42</v>
      </c>
      <c r="M91" s="2" t="s">
        <v>42</v>
      </c>
      <c r="N91" s="2" t="s">
        <v>42</v>
      </c>
      <c r="P91" s="2" t="s">
        <v>42</v>
      </c>
      <c r="Q91" s="2" t="s">
        <v>42</v>
      </c>
      <c r="R91" s="2" t="s">
        <v>42</v>
      </c>
      <c r="S91" s="2" t="s">
        <v>42</v>
      </c>
      <c r="T91" s="2" t="s">
        <v>42</v>
      </c>
      <c r="U91" s="2" t="s">
        <v>42</v>
      </c>
      <c r="W91" s="9">
        <v>3.9611111111111117</v>
      </c>
      <c r="AB91" s="2" t="s">
        <v>42</v>
      </c>
      <c r="AD91" s="2" t="s">
        <v>42</v>
      </c>
      <c r="AG91" s="2" t="s">
        <v>44</v>
      </c>
      <c r="AH91" s="2" t="s">
        <v>396</v>
      </c>
      <c r="AI91" s="2" t="s">
        <v>397</v>
      </c>
      <c r="AJ91" s="2" t="s">
        <v>42</v>
      </c>
      <c r="AK91" s="2" t="s">
        <v>398</v>
      </c>
      <c r="AL91" s="2" t="s">
        <v>122</v>
      </c>
      <c r="AM91" s="2" t="s">
        <v>399</v>
      </c>
      <c r="AN91" s="2" t="s">
        <v>42</v>
      </c>
      <c r="AO91" s="8" t="s">
        <v>42</v>
      </c>
      <c r="AV91" s="1">
        <v>38</v>
      </c>
      <c r="AX91" s="1">
        <f t="shared" si="1"/>
        <v>12.138888888888889</v>
      </c>
    </row>
    <row r="92" spans="3:50" x14ac:dyDescent="0.25">
      <c r="C92" s="2" t="s">
        <v>42</v>
      </c>
      <c r="I92" s="2" t="s">
        <v>42</v>
      </c>
      <c r="J92" s="2" t="s">
        <v>42</v>
      </c>
      <c r="M92" s="2" t="s">
        <v>42</v>
      </c>
      <c r="N92" s="2" t="s">
        <v>42</v>
      </c>
      <c r="P92" s="2" t="s">
        <v>42</v>
      </c>
      <c r="Q92" s="2" t="s">
        <v>42</v>
      </c>
      <c r="R92" s="2" t="s">
        <v>42</v>
      </c>
      <c r="S92" s="2" t="s">
        <v>42</v>
      </c>
      <c r="T92" s="2" t="s">
        <v>42</v>
      </c>
      <c r="U92" s="2" t="s">
        <v>42</v>
      </c>
      <c r="W92" s="9">
        <v>29.133333333333336</v>
      </c>
      <c r="AB92" s="2" t="s">
        <v>42</v>
      </c>
      <c r="AD92" s="2" t="s">
        <v>42</v>
      </c>
      <c r="AG92" s="2" t="s">
        <v>44</v>
      </c>
      <c r="AH92" s="2" t="s">
        <v>400</v>
      </c>
      <c r="AI92" s="2" t="s">
        <v>401</v>
      </c>
      <c r="AJ92" s="2" t="s">
        <v>42</v>
      </c>
      <c r="AK92" s="2" t="s">
        <v>402</v>
      </c>
      <c r="AL92" s="2" t="s">
        <v>85</v>
      </c>
      <c r="AM92" s="2" t="s">
        <v>403</v>
      </c>
      <c r="AN92" s="2" t="s">
        <v>42</v>
      </c>
      <c r="AO92" s="8" t="s">
        <v>42</v>
      </c>
      <c r="AV92" s="1">
        <v>11.9</v>
      </c>
      <c r="AX92" s="1">
        <f t="shared" si="1"/>
        <v>3.8013888888888894</v>
      </c>
    </row>
    <row r="93" spans="3:50" x14ac:dyDescent="0.25">
      <c r="C93" s="2" t="s">
        <v>42</v>
      </c>
      <c r="I93" s="2" t="s">
        <v>42</v>
      </c>
      <c r="J93" s="2" t="s">
        <v>42</v>
      </c>
      <c r="M93" s="2" t="s">
        <v>42</v>
      </c>
      <c r="N93" s="2" t="s">
        <v>42</v>
      </c>
      <c r="P93" s="2" t="s">
        <v>42</v>
      </c>
      <c r="Q93" s="2" t="s">
        <v>42</v>
      </c>
      <c r="R93" s="2" t="s">
        <v>42</v>
      </c>
      <c r="S93" s="2" t="s">
        <v>42</v>
      </c>
      <c r="T93" s="2" t="s">
        <v>42</v>
      </c>
      <c r="U93" s="2" t="s">
        <v>42</v>
      </c>
      <c r="W93" s="9">
        <v>20.891666666666669</v>
      </c>
      <c r="AB93" s="2" t="s">
        <v>42</v>
      </c>
      <c r="AD93" s="2" t="s">
        <v>42</v>
      </c>
      <c r="AG93" s="2" t="s">
        <v>44</v>
      </c>
      <c r="AH93" s="2" t="s">
        <v>404</v>
      </c>
      <c r="AI93" s="2" t="s">
        <v>405</v>
      </c>
      <c r="AJ93" s="2" t="s">
        <v>42</v>
      </c>
      <c r="AK93" s="2" t="s">
        <v>406</v>
      </c>
      <c r="AL93" s="2" t="s">
        <v>85</v>
      </c>
      <c r="AM93" s="2" t="s">
        <v>407</v>
      </c>
      <c r="AN93" s="2" t="s">
        <v>42</v>
      </c>
      <c r="AO93" s="8" t="s">
        <v>42</v>
      </c>
      <c r="AV93" s="1">
        <v>36.700000000000003</v>
      </c>
      <c r="AX93" s="1">
        <f t="shared" si="1"/>
        <v>11.723611111111113</v>
      </c>
    </row>
    <row r="94" spans="3:50" x14ac:dyDescent="0.25">
      <c r="AV94" s="1">
        <v>12.4</v>
      </c>
      <c r="AX94" s="1">
        <f t="shared" si="1"/>
        <v>3.9611111111111117</v>
      </c>
    </row>
    <row r="95" spans="3:50" x14ac:dyDescent="0.25">
      <c r="AV95" s="1">
        <v>91.2</v>
      </c>
      <c r="AX95" s="1">
        <f t="shared" si="1"/>
        <v>29.133333333333336</v>
      </c>
    </row>
    <row r="96" spans="3:50" x14ac:dyDescent="0.25">
      <c r="AV96" s="1">
        <v>65.400000000000006</v>
      </c>
      <c r="AX96" s="1">
        <f t="shared" si="1"/>
        <v>20.891666666666669</v>
      </c>
    </row>
  </sheetData>
  <mergeCells count="28"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</mergeCells>
  <pageMargins left="0.5" right="0.5" top="0.75" bottom="0.75" header="0.3" footer="0.3"/>
  <pageSetup paperSize="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40517FCF-1451-474D-9186-122733B84F11}"/>
</file>

<file path=customXml/itemProps2.xml><?xml version="1.0" encoding="utf-8"?>
<ds:datastoreItem xmlns:ds="http://schemas.openxmlformats.org/officeDocument/2006/customXml" ds:itemID="{364A8207-91E3-43BF-8DB4-A1BE7D62C775}">
  <ds:schemaRefs>
    <ds:schemaRef ds:uri="http://schemas.microsoft.com/office/2006/metadata/properties"/>
    <ds:schemaRef ds:uri="http://schemas.microsoft.com/office/infopath/2007/PartnerControls"/>
    <ds:schemaRef ds:uri="d60f96d0-6c09-4806-b141-00f274de1478"/>
    <ds:schemaRef ds:uri="c3906ed6-3203-4afe-9e96-c1d55762b86b"/>
  </ds:schemaRefs>
</ds:datastoreItem>
</file>

<file path=customXml/itemProps3.xml><?xml version="1.0" encoding="utf-8"?>
<ds:datastoreItem xmlns:ds="http://schemas.openxmlformats.org/officeDocument/2006/customXml" ds:itemID="{C3EBE489-D4BC-4FE5-9137-C7D6BCE84B6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A2430EB-8AD3-49A5-A457-60DB3D0763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Jeniffer Castillo</cp:lastModifiedBy>
  <dcterms:created xsi:type="dcterms:W3CDTF">2019-12-17T15:58:45Z</dcterms:created>
  <dcterms:modified xsi:type="dcterms:W3CDTF">2026-03-06T16:04:10Z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  <property fmtid="{D5CDD505-2E9C-101B-9397-08002B2CF9AE}" pid="3" name="MediaServiceImageTags">
    <vt:lpwstr/>
  </property>
</Properties>
</file>