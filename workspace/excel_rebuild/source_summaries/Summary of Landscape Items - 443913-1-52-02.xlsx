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jimenez\Goal Associates Inc\Goal Associates - Projects\2023\GA23036 - D6 SR 886 Port Blvd\06 CADD\44391315201\Calculations\"/>
    </mc:Choice>
  </mc:AlternateContent>
  <xr:revisionPtr revIDLastSave="0" documentId="13_ncr:1_{3FD26DA5-8CD8-4D1D-BC3A-7F69BF27DD5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S COST" sheetId="7" r:id="rId1"/>
    <sheet name="IRRG COST" sheetId="8" r:id="rId2"/>
    <sheet name="Sheet1" sheetId="4" r:id="rId3"/>
    <sheet name="IrrigationSchedule" sheetId="9" r:id="rId4"/>
  </sheets>
  <externalReferences>
    <externalReference r:id="rId5"/>
  </externalReferences>
  <definedNames>
    <definedName name="_xlnm.Print_Area" localSheetId="1">'IRRG COST'!$B$2:$F$11</definedName>
    <definedName name="_xlnm.Print_Area" localSheetId="0">'LS COST'!$A$2:$F$9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9" l="1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F10" i="8"/>
  <c r="F9" i="8"/>
  <c r="F8" i="8"/>
  <c r="F7" i="8"/>
  <c r="F6" i="8"/>
  <c r="F2" i="8"/>
  <c r="F8" i="7"/>
  <c r="F7" i="7"/>
  <c r="F6" i="7"/>
  <c r="F5" i="7"/>
  <c r="F2" i="7"/>
</calcChain>
</file>

<file path=xl/sharedStrings.xml><?xml version="1.0" encoding="utf-8"?>
<sst xmlns="http://schemas.openxmlformats.org/spreadsheetml/2006/main" count="105" uniqueCount="80">
  <si>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</si>
  <si>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</si>
  <si>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</si>
  <si>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</si>
  <si>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</si>
  <si>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</si>
  <si>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</si>
  <si>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</si>
  <si>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</si>
  <si>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</si>
  <si>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</si>
  <si>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</si>
  <si>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</si>
  <si>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</si>
  <si>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</si>
  <si>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</si>
  <si>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</si>
  <si>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</si>
  <si>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</si>
  <si>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</si>
  <si>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</si>
  <si>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</si>
  <si>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</si>
  <si>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</si>
  <si>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</si>
  <si>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</si>
  <si>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</si>
  <si>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</si>
  <si>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</si>
  <si>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</si>
  <si>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</si>
  <si>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</si>
  <si>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</si>
  <si>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</si>
  <si>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</si>
  <si>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</si>
  <si>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</si>
  <si>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</si>
  <si>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</si>
  <si>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</si>
  <si>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</si>
  <si>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LABEL</t>
  </si>
  <si>
    <t>DESCRIPTION</t>
  </si>
  <si>
    <t>MAX.
MAINT.
SIZE</t>
  </si>
  <si>
    <t>QUANTITY</t>
  </si>
  <si>
    <t>SITE
NO.</t>
  </si>
  <si>
    <t>LOCATION
DESCRIPTION</t>
  </si>
  <si>
    <t>DESIGN
NOTES</t>
  </si>
  <si>
    <t>UNIT</t>
  </si>
  <si>
    <t>LS</t>
  </si>
  <si>
    <t>EA</t>
  </si>
  <si>
    <t>IRRIGATION SCHEDULE</t>
  </si>
  <si>
    <t>IRRIGATION SYSTEM - MODIFY EXISTING SYSTEM</t>
  </si>
  <si>
    <t>LF</t>
  </si>
  <si>
    <t>Last Update:</t>
  </si>
  <si>
    <t>TOTAL QTY.</t>
  </si>
  <si>
    <t>UNIT COST</t>
  </si>
  <si>
    <t>SUB TOTAL</t>
  </si>
  <si>
    <t>LF*</t>
  </si>
  <si>
    <t>*NOTE: LENGTHS BASED ON SCHEMATIC LAYOUT SHOWN IN THESE PLANS AND ARE ESTIMATIONS ONLY. ACTUAL QUANTITIES MAY VARY.</t>
  </si>
  <si>
    <t>IRRIGATION SYSTEM-MODIFY EXISTING SYSTEM (590-70-5)</t>
  </si>
  <si>
    <t>PVC LATERAL LINE (MATCH EXISTING SIZE AND SCHEDULE)</t>
  </si>
  <si>
    <t>FPID# 443913-1-52-01</t>
  </si>
  <si>
    <t xml:space="preserve">SR 886/PORT BLVD FROM BISCAYNE TO PORT MIAMI - IRRIGATION COST </t>
  </si>
  <si>
    <t>0590 70  5</t>
  </si>
  <si>
    <t>POP-UP SPRAY HEAD, 15' QUARTER</t>
  </si>
  <si>
    <t>POP-UP SPRAY HEAD, 15' HALF</t>
  </si>
  <si>
    <t>Summary of Landscape Items - 443913-1-52-02</t>
  </si>
  <si>
    <t>EXCAVATION OF EXISTING PIPES AND MULCH RESTORATION</t>
  </si>
  <si>
    <t xml:space="preserve">SR 886/PORT BLVD FROM BISCAYNE TO PORT MIAMI - LANDSCAPE COST </t>
  </si>
  <si>
    <t>PAY ITEM</t>
  </si>
  <si>
    <t>0110  2  2</t>
  </si>
  <si>
    <t>SELECTIVE CLEARING AND GRUBBING, AREAS WITH TREES TO REMAIN</t>
  </si>
  <si>
    <t>AC</t>
  </si>
  <si>
    <t>0110 21</t>
  </si>
  <si>
    <t>TREE PROTECTION BARRIER</t>
  </si>
  <si>
    <t>0110 22</t>
  </si>
  <si>
    <t>TREE ROOT AND BRANCH PRUNING</t>
  </si>
  <si>
    <t>TOTAL LANDSCAPE COST</t>
  </si>
  <si>
    <t>TOTAL IRRIGATION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</si>
</sst>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\+00.00"/>
    <numFmt numFmtId="165" formatCode="_(* #,##0_);_(* \(#,##0\);_(* &quot;-&quot;??_);_(@_)"/>
    <numFmt numFmtId="166" formatCode="#,##0.0_);\(#,##0.0\)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  <font>
      <sz val="10"/>
      <name val="Arial"/>
      <family val="2"/>
    </font>
    <font>
      <sz val="10"/>
      <name val="Arial"/>
      <family val="2"/>
    </font>
    <font>
      <b/>
      <sz val="16"/>
      <name val="Tahoma"/>
      <family val="2"/>
    </font>
    <font>
      <b/>
      <sz val="12"/>
      <name val="Arial"/>
      <family val="2"/>
    </font>
    <font>
      <sz val="14"/>
      <name val="Arial"/>
      <family val="2"/>
    </font>
    <font>
      <sz val="12"/>
      <name val="Tahoma"/>
      <family val="2"/>
    </font>
    <font>
      <sz val="12"/>
      <name val="Arial"/>
      <family val="2"/>
    </font>
    <font>
      <b/>
      <sz val="12"/>
      <name val="Tahoma"/>
      <family val="2"/>
    </font>
    <font>
      <b/>
      <sz val="14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1"/>
    <xf numFmtId="44" fontId="3" fillId="0" borderId="0" xfId="1" applyNumberFormat="1"/>
    <xf numFmtId="2" fontId="3" fillId="0" borderId="0" xfId="1" applyNumberFormat="1"/>
    <xf numFmtId="0" fontId="7" fillId="0" borderId="0" xfId="1" applyFont="1" applyAlignment="1">
      <alignment horizontal="center"/>
    </xf>
    <xf numFmtId="44" fontId="3" fillId="0" borderId="0" xfId="1" applyNumberForma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0" borderId="30" xfId="5" applyFont="1" applyBorder="1" applyAlignment="1">
      <alignment horizontal="left" vertical="center"/>
    </xf>
    <xf numFmtId="0" fontId="3" fillId="0" borderId="38" xfId="1" applyBorder="1"/>
    <xf numFmtId="0" fontId="3" fillId="0" borderId="38" xfId="5" applyBorder="1"/>
    <xf numFmtId="165" fontId="3" fillId="0" borderId="38" xfId="6" applyNumberFormat="1" applyBorder="1" applyAlignment="1"/>
    <xf numFmtId="44" fontId="6" fillId="0" borderId="38" xfId="7" applyFont="1" applyBorder="1" applyAlignment="1">
      <alignment horizontal="center"/>
    </xf>
    <xf numFmtId="14" fontId="6" fillId="0" borderId="31" xfId="6" applyNumberFormat="1" applyFont="1" applyBorder="1" applyAlignment="1">
      <alignment horizontal="left"/>
    </xf>
    <xf numFmtId="0" fontId="7" fillId="0" borderId="30" xfId="5" applyFont="1" applyBorder="1" applyAlignment="1">
      <alignment vertical="center"/>
    </xf>
    <xf numFmtId="0" fontId="3" fillId="0" borderId="31" xfId="1" applyBorder="1"/>
    <xf numFmtId="49" fontId="8" fillId="0" borderId="10" xfId="5" applyNumberFormat="1" applyFont="1" applyBorder="1" applyAlignment="1">
      <alignment horizontal="center" vertical="center"/>
    </xf>
    <xf numFmtId="49" fontId="8" fillId="0" borderId="24" xfId="5" applyNumberFormat="1" applyFont="1" applyBorder="1" applyAlignment="1">
      <alignment horizontal="center" vertical="center" wrapText="1"/>
    </xf>
    <xf numFmtId="44" fontId="9" fillId="0" borderId="11" xfId="7" applyFont="1" applyBorder="1" applyAlignment="1">
      <alignment horizontal="center" vertical="center" wrapText="1"/>
    </xf>
    <xf numFmtId="44" fontId="9" fillId="0" borderId="24" xfId="7" applyFont="1" applyBorder="1" applyAlignment="1">
      <alignment horizontal="center" vertical="center" wrapText="1"/>
    </xf>
    <xf numFmtId="0" fontId="8" fillId="0" borderId="26" xfId="5" applyFont="1" applyBorder="1" applyAlignment="1">
      <alignment vertical="center"/>
    </xf>
    <xf numFmtId="0" fontId="3" fillId="0" borderId="27" xfId="5" applyBorder="1" applyAlignment="1">
      <alignment horizontal="center" vertical="center"/>
    </xf>
    <xf numFmtId="0" fontId="3" fillId="0" borderId="28" xfId="5" applyBorder="1" applyAlignment="1">
      <alignment horizontal="center" vertical="center" wrapText="1"/>
    </xf>
    <xf numFmtId="0" fontId="3" fillId="0" borderId="29" xfId="5" applyBorder="1" applyAlignment="1">
      <alignment horizontal="center" vertical="center" wrapText="1"/>
    </xf>
    <xf numFmtId="0" fontId="8" fillId="0" borderId="24" xfId="5" applyFont="1" applyBorder="1" applyAlignment="1">
      <alignment vertical="center"/>
    </xf>
    <xf numFmtId="0" fontId="8" fillId="0" borderId="32" xfId="5" applyFont="1" applyBorder="1" applyAlignment="1">
      <alignment vertical="center"/>
    </xf>
    <xf numFmtId="0" fontId="10" fillId="0" borderId="33" xfId="5" applyFont="1" applyBorder="1" applyAlignment="1">
      <alignment horizontal="center" vertical="center"/>
    </xf>
    <xf numFmtId="39" fontId="8" fillId="0" borderId="32" xfId="6" applyNumberFormat="1" applyFont="1" applyBorder="1" applyAlignment="1">
      <alignment horizontal="center" vertical="center"/>
    </xf>
    <xf numFmtId="44" fontId="6" fillId="0" borderId="34" xfId="7" applyFont="1" applyBorder="1" applyAlignment="1">
      <alignment vertical="center"/>
    </xf>
    <xf numFmtId="44" fontId="6" fillId="0" borderId="35" xfId="7" applyFont="1" applyBorder="1" applyAlignment="1">
      <alignment vertical="center"/>
    </xf>
    <xf numFmtId="166" fontId="8" fillId="0" borderId="32" xfId="6" applyNumberFormat="1" applyFont="1" applyBorder="1" applyAlignment="1">
      <alignment horizontal="center" vertical="center"/>
    </xf>
    <xf numFmtId="0" fontId="8" fillId="0" borderId="25" xfId="5" applyFont="1" applyBorder="1" applyAlignment="1">
      <alignment vertical="center"/>
    </xf>
    <xf numFmtId="37" fontId="8" fillId="0" borderId="36" xfId="6" applyNumberFormat="1" applyFont="1" applyBorder="1" applyAlignment="1">
      <alignment horizontal="center" vertical="center"/>
    </xf>
    <xf numFmtId="44" fontId="6" fillId="0" borderId="37" xfId="7" applyFont="1" applyBorder="1" applyAlignment="1">
      <alignment vertical="center"/>
    </xf>
    <xf numFmtId="44" fontId="6" fillId="0" borderId="36" xfId="7" applyFont="1" applyBorder="1" applyAlignment="1">
      <alignment vertical="center"/>
    </xf>
    <xf numFmtId="0" fontId="3" fillId="0" borderId="27" xfId="1" applyBorder="1"/>
    <xf numFmtId="0" fontId="8" fillId="0" borderId="38" xfId="5" applyFont="1" applyBorder="1" applyAlignment="1">
      <alignment vertical="center"/>
    </xf>
    <xf numFmtId="0" fontId="10" fillId="0" borderId="38" xfId="5" applyFont="1" applyBorder="1" applyAlignment="1">
      <alignment horizontal="center" vertical="center"/>
    </xf>
    <xf numFmtId="37" fontId="8" fillId="0" borderId="38" xfId="6" applyNumberFormat="1" applyFont="1" applyFill="1" applyBorder="1" applyAlignment="1">
      <alignment horizontal="center" vertical="center"/>
    </xf>
    <xf numFmtId="44" fontId="11" fillId="0" borderId="38" xfId="7" applyFont="1" applyBorder="1" applyAlignment="1">
      <alignment horizontal="right" vertical="center"/>
    </xf>
    <xf numFmtId="44" fontId="12" fillId="0" borderId="26" xfId="7" applyFont="1" applyBorder="1" applyAlignment="1">
      <alignment vertical="center"/>
    </xf>
    <xf numFmtId="0" fontId="8" fillId="0" borderId="0" xfId="5" applyFont="1" applyAlignment="1">
      <alignment horizontal="left" vertical="center" wrapText="1"/>
    </xf>
    <xf numFmtId="0" fontId="5" fillId="0" borderId="10" xfId="5" applyFont="1" applyBorder="1" applyAlignment="1">
      <alignment horizontal="left" vertical="center"/>
    </xf>
    <xf numFmtId="0" fontId="3" fillId="0" borderId="4" xfId="5" applyBorder="1"/>
    <xf numFmtId="165" fontId="3" fillId="0" borderId="4" xfId="6" applyNumberFormat="1" applyBorder="1" applyAlignment="1"/>
    <xf numFmtId="44" fontId="6" fillId="0" borderId="4" xfId="7" applyFont="1" applyBorder="1" applyAlignment="1">
      <alignment horizontal="center"/>
    </xf>
    <xf numFmtId="14" fontId="6" fillId="0" borderId="11" xfId="6" applyNumberFormat="1" applyFont="1" applyBorder="1" applyAlignment="1">
      <alignment horizontal="center"/>
    </xf>
    <xf numFmtId="0" fontId="7" fillId="0" borderId="10" xfId="5" applyFont="1" applyBorder="1" applyAlignment="1">
      <alignment vertical="center"/>
    </xf>
    <xf numFmtId="0" fontId="10" fillId="0" borderId="26" xfId="5" applyFont="1" applyBorder="1" applyAlignment="1">
      <alignment vertical="center"/>
    </xf>
    <xf numFmtId="0" fontId="10" fillId="0" borderId="30" xfId="5" applyFont="1" applyBorder="1" applyAlignment="1">
      <alignment horizontal="center" vertical="center"/>
    </xf>
    <xf numFmtId="165" fontId="10" fillId="0" borderId="26" xfId="6" applyNumberFormat="1" applyFont="1" applyBorder="1" applyAlignment="1">
      <alignment horizontal="center" vertical="center"/>
    </xf>
    <xf numFmtId="44" fontId="6" fillId="0" borderId="31" xfId="7" applyFont="1" applyBorder="1" applyAlignment="1">
      <alignment vertical="center"/>
    </xf>
    <xf numFmtId="44" fontId="6" fillId="0" borderId="26" xfId="7" applyFont="1" applyBorder="1" applyAlignment="1">
      <alignment vertical="center"/>
    </xf>
    <xf numFmtId="37" fontId="8" fillId="0" borderId="32" xfId="6" applyNumberFormat="1" applyFont="1" applyBorder="1" applyAlignment="1">
      <alignment horizontal="center" vertical="center"/>
    </xf>
    <xf numFmtId="0" fontId="8" fillId="0" borderId="36" xfId="5" applyFont="1" applyBorder="1" applyAlignment="1">
      <alignment vertical="center"/>
    </xf>
    <xf numFmtId="0" fontId="8" fillId="0" borderId="30" xfId="5" applyFont="1" applyBorder="1" applyAlignment="1">
      <alignment vertical="center"/>
    </xf>
  </cellXfs>
  <cellStyles count="8">
    <cellStyle name="Comma 2" xfId="2" xr:uid="{554B19C9-D565-49DF-8EB3-EE37F15D65EB}"/>
    <cellStyle name="Comma 2 2" xfId="6" xr:uid="{AC50926F-E762-457E-924F-F5CB04C3C5A3}"/>
    <cellStyle name="Currency 2" xfId="4" xr:uid="{9714E5A6-CD97-41E5-87EA-6BE117DB9B78}"/>
    <cellStyle name="Currency 2 2" xfId="7" xr:uid="{39C81607-B72C-44E1-BBE0-FE303EFC5699}"/>
    <cellStyle name="Normal" xfId="0" builtinId="0"/>
    <cellStyle name="Normal 2" xfId="1" xr:uid="{13AA4F07-A733-445B-9445-F6FB201DC5A1}"/>
    <cellStyle name="Normal 2 2" xfId="3" xr:uid="{27051984-A756-4A04-80F1-9E18164AB690}"/>
    <cellStyle name="Normal 2 2 2" xfId="5" xr:uid="{903D6357-6696-4C8F-86DC-D6A1E7854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imenez\Goal%20Associates%20Inc\Goal%20Associates%20-%20Projects\2023\GA23036%20-%20D6%20SR%20886%20Port%20Blvd\06%20CADD\from%20Subs\landscape\44391315201-Production-Landscape\calculations\Summary%20of%20Landscape%20Items.xlsx" TargetMode="External"/><Relationship Id="rId1" Type="http://schemas.openxmlformats.org/officeDocument/2006/relationships/externalLinkPath" Target="file:///C:\Users\jjimenez\Goal%20Associates%20Inc\Goal%20Associates%20-%20Projects\2023\GA23036%20-%20D6%20SR%20886%20Port%20Blvd\06%20CADD\from%20Subs\landscape\44391315201-Production-Landscape\calculations\Summary%20of%20Landscape%20Ite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S COST"/>
      <sheetName val="IRRG COST"/>
      <sheetName val="Sheet1"/>
      <sheetName val="IrrigationSchedule"/>
    </sheetNames>
    <sheetDataSet>
      <sheetData sheetId="0"/>
      <sheetData sheetId="1"/>
      <sheetData sheetId="2">
        <row r="4">
          <cell r="D4" t="str">
            <v>IRRIGATION SYSTEM - MODIFY EXISTING SYSTEM</v>
          </cell>
          <cell r="Y4">
            <v>1</v>
          </cell>
        </row>
        <row r="5">
          <cell r="D5" t="str">
            <v>POP-UP SPRAY HEAD, 15' QUARTER</v>
          </cell>
          <cell r="AF5">
            <v>1</v>
          </cell>
        </row>
        <row r="6">
          <cell r="D6" t="str">
            <v>POP-UP SPRAY HEAD, 15' HALF</v>
          </cell>
          <cell r="AF6">
            <v>1</v>
          </cell>
        </row>
        <row r="7">
          <cell r="D7" t="str">
            <v>PVC LATERAL LINE (MATCH EXISTING SIZE AND SCHEDULE)</v>
          </cell>
          <cell r="AF7">
            <v>1</v>
          </cell>
        </row>
        <row r="8">
          <cell r="D8" t="str">
            <v>EXCAVATION OF EXISTING PIPES AND MULCH RESTORATION</v>
          </cell>
          <cell r="AF8">
            <v>1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EDEE-692D-4DD1-AF62-336BB7E36CFD}">
  <sheetPr>
    <pageSetUpPr fitToPage="1"/>
  </sheetPr>
  <dimension ref="A1:J9"/>
  <sheetViews>
    <sheetView zoomScale="85" zoomScaleNormal="85" workbookViewId="0">
      <selection activeCell="B25" sqref="B25"/>
    </sheetView>
  </sheetViews>
  <sheetFormatPr defaultRowHeight="12.75" x14ac:dyDescent="0.2"/>
  <cols>
    <col min="1" max="1" width="12" style="33" customWidth="1"/>
    <col min="2" max="2" width="102.42578125" style="33" customWidth="1"/>
    <col min="3" max="3" width="7.85546875" style="33" customWidth="1"/>
    <col min="4" max="4" width="10.5703125" style="33" customWidth="1"/>
    <col min="5" max="5" width="15" style="33" customWidth="1"/>
    <col min="6" max="6" width="20.42578125" style="33" customWidth="1"/>
    <col min="7" max="8" width="9.140625" style="33"/>
    <col min="9" max="9" width="14.5703125" style="33" customWidth="1"/>
    <col min="10" max="16384" width="9.140625" style="33"/>
  </cols>
  <sheetData>
    <row r="1" spans="1:10" ht="13.5" thickBot="1" x14ac:dyDescent="0.25"/>
    <row r="2" spans="1:10" ht="35.1" customHeight="1" thickBot="1" x14ac:dyDescent="0.3">
      <c r="A2" s="49" t="s">
        <v>69</v>
      </c>
      <c r="B2" s="50"/>
      <c r="C2" s="51"/>
      <c r="D2" s="52"/>
      <c r="E2" s="53" t="s">
        <v>54</v>
      </c>
      <c r="F2" s="54">
        <f ca="1">TODAY()</f>
        <v>45664</v>
      </c>
    </row>
    <row r="3" spans="1:10" ht="24.95" customHeight="1" thickBot="1" x14ac:dyDescent="0.25">
      <c r="A3" s="55" t="s">
        <v>62</v>
      </c>
      <c r="B3" s="56"/>
      <c r="C3" s="57" t="s">
        <v>48</v>
      </c>
      <c r="D3" s="58" t="s">
        <v>55</v>
      </c>
      <c r="E3" s="59" t="s">
        <v>56</v>
      </c>
      <c r="F3" s="60" t="s">
        <v>57</v>
      </c>
    </row>
    <row r="4" spans="1:10" ht="24.95" customHeight="1" thickBot="1" x14ac:dyDescent="0.3">
      <c r="A4" s="61" t="s">
        <v>70</v>
      </c>
      <c r="B4" s="61" t="s">
        <v>42</v>
      </c>
      <c r="C4" s="62"/>
      <c r="D4" s="63"/>
      <c r="E4" s="64"/>
      <c r="F4" s="63"/>
      <c r="H4" s="36"/>
      <c r="I4" s="36"/>
      <c r="J4" s="36"/>
    </row>
    <row r="5" spans="1:10" ht="20.100000000000001" customHeight="1" x14ac:dyDescent="0.2">
      <c r="A5" s="65" t="s">
        <v>71</v>
      </c>
      <c r="B5" s="66" t="s">
        <v>72</v>
      </c>
      <c r="C5" s="67" t="s">
        <v>73</v>
      </c>
      <c r="D5" s="68">
        <v>0.01</v>
      </c>
      <c r="E5" s="69">
        <v>35485.85</v>
      </c>
      <c r="F5" s="70">
        <f t="shared" ref="F5:F7" si="0">D5*E5</f>
        <v>354.85849999999999</v>
      </c>
      <c r="I5" s="35"/>
    </row>
    <row r="6" spans="1:10" ht="20.100000000000001" customHeight="1" x14ac:dyDescent="0.2">
      <c r="A6" s="66" t="s">
        <v>74</v>
      </c>
      <c r="B6" s="66" t="s">
        <v>75</v>
      </c>
      <c r="C6" s="67" t="s">
        <v>58</v>
      </c>
      <c r="D6" s="71">
        <v>148.9</v>
      </c>
      <c r="E6" s="69">
        <v>6.82</v>
      </c>
      <c r="F6" s="70">
        <f t="shared" si="0"/>
        <v>1015.498</v>
      </c>
      <c r="I6" s="35"/>
    </row>
    <row r="7" spans="1:10" ht="20.100000000000001" customHeight="1" thickBot="1" x14ac:dyDescent="0.25">
      <c r="A7" s="72" t="s">
        <v>76</v>
      </c>
      <c r="B7" s="66" t="s">
        <v>77</v>
      </c>
      <c r="C7" s="67" t="s">
        <v>50</v>
      </c>
      <c r="D7" s="73">
        <v>2</v>
      </c>
      <c r="E7" s="74">
        <v>450</v>
      </c>
      <c r="F7" s="75">
        <f t="shared" si="0"/>
        <v>900</v>
      </c>
      <c r="I7" s="35"/>
    </row>
    <row r="8" spans="1:10" ht="20.100000000000001" customHeight="1" thickBot="1" x14ac:dyDescent="0.25">
      <c r="A8" s="76"/>
      <c r="B8" s="77"/>
      <c r="C8" s="78"/>
      <c r="D8" s="79"/>
      <c r="E8" s="80" t="s">
        <v>78</v>
      </c>
      <c r="F8" s="81">
        <f>SUM(F5:F7)</f>
        <v>2270.3564999999999</v>
      </c>
      <c r="H8" s="37"/>
      <c r="I8" s="37"/>
      <c r="J8" s="34"/>
    </row>
    <row r="9" spans="1:10" ht="15" customHeight="1" x14ac:dyDescent="0.2">
      <c r="B9" s="82" t="s">
        <v>59</v>
      </c>
      <c r="C9" s="82"/>
      <c r="D9" s="82"/>
      <c r="E9" s="82"/>
      <c r="F9" s="82"/>
    </row>
  </sheetData>
  <mergeCells count="7">
    <mergeCell ref="B9:F9"/>
    <mergeCell ref="C3:C4"/>
    <mergeCell ref="D3:D4"/>
    <mergeCell ref="E3:E4"/>
    <mergeCell ref="F3:F4"/>
    <mergeCell ref="H4:J4"/>
    <mergeCell ref="H8:I8"/>
  </mergeCells>
  <printOptions horizontalCentered="1" verticalCentered="1"/>
  <pageMargins left="0.7" right="0.7" top="0.75" bottom="0.75" header="0.3" footer="0.3"/>
  <pageSetup scale="7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0EA9-0122-4CFB-B571-565414A94CF1}">
  <sheetPr>
    <pageSetUpPr fitToPage="1"/>
  </sheetPr>
  <dimension ref="B1:J11"/>
  <sheetViews>
    <sheetView zoomScale="85" zoomScaleNormal="85" workbookViewId="0">
      <selection activeCell="B25" sqref="B25"/>
    </sheetView>
  </sheetViews>
  <sheetFormatPr defaultRowHeight="12.75" x14ac:dyDescent="0.2"/>
  <cols>
    <col min="1" max="1" width="9.140625" style="33"/>
    <col min="2" max="2" width="115.28515625" style="33" customWidth="1"/>
    <col min="3" max="3" width="7.85546875" style="33" customWidth="1"/>
    <col min="4" max="4" width="10.5703125" style="33" customWidth="1"/>
    <col min="5" max="5" width="15" style="33" customWidth="1"/>
    <col min="6" max="6" width="20.42578125" style="33" customWidth="1"/>
    <col min="7" max="8" width="9.140625" style="33"/>
    <col min="9" max="9" width="14.5703125" style="33" customWidth="1"/>
    <col min="10" max="16384" width="9.140625" style="33"/>
  </cols>
  <sheetData>
    <row r="1" spans="2:10" ht="13.5" thickBot="1" x14ac:dyDescent="0.25"/>
    <row r="2" spans="2:10" ht="35.1" customHeight="1" thickBot="1" x14ac:dyDescent="0.3">
      <c r="B2" s="83" t="s">
        <v>63</v>
      </c>
      <c r="C2" s="84"/>
      <c r="D2" s="85"/>
      <c r="E2" s="86" t="s">
        <v>54</v>
      </c>
      <c r="F2" s="87">
        <f ca="1">TODAY()</f>
        <v>45664</v>
      </c>
    </row>
    <row r="3" spans="2:10" ht="24.95" customHeight="1" thickBot="1" x14ac:dyDescent="0.25">
      <c r="B3" s="88" t="s">
        <v>62</v>
      </c>
      <c r="C3" s="57" t="s">
        <v>48</v>
      </c>
      <c r="D3" s="58" t="s">
        <v>55</v>
      </c>
      <c r="E3" s="59" t="s">
        <v>56</v>
      </c>
      <c r="F3" s="60" t="s">
        <v>57</v>
      </c>
    </row>
    <row r="4" spans="2:10" ht="24.95" customHeight="1" thickBot="1" x14ac:dyDescent="0.3">
      <c r="B4" s="61" t="s">
        <v>42</v>
      </c>
      <c r="C4" s="62"/>
      <c r="D4" s="63"/>
      <c r="E4" s="64"/>
      <c r="F4" s="63"/>
      <c r="H4" s="36"/>
      <c r="I4" s="36"/>
      <c r="J4" s="36"/>
    </row>
    <row r="5" spans="2:10" ht="24.95" customHeight="1" thickBot="1" x14ac:dyDescent="0.25">
      <c r="B5" s="89" t="s">
        <v>60</v>
      </c>
      <c r="C5" s="90" t="s">
        <v>49</v>
      </c>
      <c r="D5" s="91">
        <v>1</v>
      </c>
      <c r="E5" s="92"/>
      <c r="F5" s="93"/>
    </row>
    <row r="6" spans="2:10" ht="20.100000000000001" customHeight="1" x14ac:dyDescent="0.2">
      <c r="B6" s="66" t="s">
        <v>65</v>
      </c>
      <c r="C6" s="67" t="s">
        <v>50</v>
      </c>
      <c r="D6" s="94">
        <v>1</v>
      </c>
      <c r="E6" s="69">
        <v>50</v>
      </c>
      <c r="F6" s="70">
        <f t="shared" ref="F6:F9" si="0">D6*E6</f>
        <v>50</v>
      </c>
      <c r="I6" s="35"/>
    </row>
    <row r="7" spans="2:10" ht="20.100000000000001" customHeight="1" x14ac:dyDescent="0.2">
      <c r="B7" s="66" t="s">
        <v>66</v>
      </c>
      <c r="C7" s="67" t="s">
        <v>50</v>
      </c>
      <c r="D7" s="94">
        <v>2</v>
      </c>
      <c r="E7" s="69">
        <v>50</v>
      </c>
      <c r="F7" s="70">
        <f t="shared" si="0"/>
        <v>100</v>
      </c>
      <c r="I7" s="35"/>
    </row>
    <row r="8" spans="2:10" ht="20.100000000000001" customHeight="1" x14ac:dyDescent="0.2">
      <c r="B8" s="95" t="s">
        <v>61</v>
      </c>
      <c r="C8" s="67" t="s">
        <v>58</v>
      </c>
      <c r="D8" s="73">
        <v>43</v>
      </c>
      <c r="E8" s="74">
        <v>6</v>
      </c>
      <c r="F8" s="75">
        <f t="shared" si="0"/>
        <v>258</v>
      </c>
      <c r="I8" s="35"/>
    </row>
    <row r="9" spans="2:10" ht="20.100000000000001" customHeight="1" thickBot="1" x14ac:dyDescent="0.25">
      <c r="B9" s="95" t="s">
        <v>68</v>
      </c>
      <c r="C9" s="67" t="s">
        <v>49</v>
      </c>
      <c r="D9" s="73">
        <v>1</v>
      </c>
      <c r="E9" s="74">
        <v>750</v>
      </c>
      <c r="F9" s="75">
        <f t="shared" si="0"/>
        <v>750</v>
      </c>
      <c r="I9" s="35"/>
    </row>
    <row r="10" spans="2:10" ht="20.100000000000001" customHeight="1" thickBot="1" x14ac:dyDescent="0.25">
      <c r="B10" s="96"/>
      <c r="C10" s="78"/>
      <c r="D10" s="79"/>
      <c r="E10" s="80" t="s">
        <v>79</v>
      </c>
      <c r="F10" s="81">
        <f>SUM(F6:F9)</f>
        <v>1158</v>
      </c>
      <c r="H10" s="37"/>
      <c r="I10" s="37"/>
      <c r="J10" s="34"/>
    </row>
    <row r="11" spans="2:10" ht="15" customHeight="1" x14ac:dyDescent="0.2">
      <c r="B11" s="82" t="s">
        <v>59</v>
      </c>
      <c r="C11" s="82"/>
      <c r="D11" s="82"/>
      <c r="E11" s="82"/>
      <c r="F11" s="82"/>
    </row>
  </sheetData>
  <mergeCells count="7">
    <mergeCell ref="B11:F11"/>
    <mergeCell ref="C3:C4"/>
    <mergeCell ref="D3:D4"/>
    <mergeCell ref="E3:E4"/>
    <mergeCell ref="F3:F4"/>
    <mergeCell ref="H4:J4"/>
    <mergeCell ref="H10:I10"/>
  </mergeCells>
  <printOptions horizontalCentered="1" verticalCentered="1"/>
  <pageMargins left="0.7" right="0.7" top="0.75" bottom="0.75" header="0.3" footer="0.3"/>
  <pageSetup scale="7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AC2D-B3DD-4807-84AC-1E65EED8348B}">
  <dimension ref="A1:AO63"/>
  <sheetViews>
    <sheetView tabSelected="1" showRuler="0" topLeftCell="B1" zoomScaleNormal="100" zoomScaleSheetLayoutView="90" zoomScalePageLayoutView="80" workbookViewId="0">
      <selection activeCell="AS17" sqref="AS17"/>
    </sheetView>
  </sheetViews>
  <sheetFormatPr defaultColWidth="9.140625" defaultRowHeight="11.25" x14ac:dyDescent="0.25"/>
  <cols>
    <col min="1" max="1" width="9.140625" style="1" hidden="1" customWidth="1"/>
    <col min="2" max="3" width="9.7109375" style="1" customWidth="1"/>
    <col min="4" max="4" width="28.7109375" style="1" customWidth="1"/>
    <col min="5" max="5" width="10.7109375" style="1" customWidth="1"/>
    <col min="6" max="7" width="10.7109375" style="1" hidden="1" customWidth="1"/>
    <col min="8" max="8" width="8.28515625" style="1" customWidth="1"/>
    <col min="9" max="10" width="10.7109375" style="1" hidden="1" customWidth="1"/>
    <col min="11" max="11" width="13.28515625" style="1" hidden="1" customWidth="1"/>
    <col min="12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29" width="6.7109375" style="1" customWidth="1"/>
    <col min="30" max="31" width="6.7109375" style="1" hidden="1" customWidth="1"/>
    <col min="32" max="32" width="6.7109375" style="1" customWidth="1"/>
    <col min="33" max="33" width="9.28515625" style="1" hidden="1" customWidth="1"/>
    <col min="34" max="35" width="12.7109375" style="1" hidden="1" customWidth="1"/>
    <col min="36" max="36" width="12.7109375" style="1" customWidth="1"/>
    <col min="37" max="38" width="6.7109375" style="1" hidden="1" customWidth="1"/>
    <col min="39" max="39" width="7.7109375" style="1" hidden="1" customWidth="1"/>
    <col min="40" max="41" width="14.7109375" style="1" customWidth="1"/>
    <col min="42" max="42" width="9.140625" style="1" customWidth="1"/>
    <col min="43" max="16384" width="9.140625" style="1"/>
  </cols>
  <sheetData>
    <row r="1" spans="1:41" ht="15" customHeight="1" x14ac:dyDescent="0.25">
      <c r="A1" s="40" t="s">
        <v>67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2"/>
    </row>
    <row r="2" spans="1:41" s="12" customFormat="1" ht="11.25" customHeight="1" x14ac:dyDescent="0.25">
      <c r="A2" s="43" t="s">
        <v>0</v>
      </c>
      <c r="B2" s="44" t="s">
        <v>1</v>
      </c>
      <c r="C2" s="38" t="s">
        <v>2</v>
      </c>
      <c r="D2" s="44" t="s">
        <v>3</v>
      </c>
      <c r="E2" s="38" t="s">
        <v>4</v>
      </c>
      <c r="F2" s="44" t="s">
        <v>5</v>
      </c>
      <c r="G2" s="44" t="s">
        <v>6</v>
      </c>
      <c r="H2" s="44" t="s">
        <v>7</v>
      </c>
      <c r="I2" s="44" t="s">
        <v>8</v>
      </c>
      <c r="J2" s="44" t="s">
        <v>9</v>
      </c>
      <c r="K2" s="38" t="s">
        <v>10</v>
      </c>
      <c r="L2" s="38" t="s">
        <v>11</v>
      </c>
      <c r="M2" s="44" t="s">
        <v>12</v>
      </c>
      <c r="N2" s="44" t="s">
        <v>13</v>
      </c>
      <c r="O2" s="38" t="s">
        <v>14</v>
      </c>
      <c r="P2" s="38" t="s">
        <v>15</v>
      </c>
      <c r="Q2" s="38" t="s">
        <v>16</v>
      </c>
      <c r="R2" s="38" t="s">
        <v>17</v>
      </c>
      <c r="S2" s="38" t="s">
        <v>18</v>
      </c>
      <c r="T2" s="38" t="s">
        <v>19</v>
      </c>
      <c r="U2" s="44" t="s">
        <v>20</v>
      </c>
      <c r="V2" s="44" t="s">
        <v>21</v>
      </c>
      <c r="W2" s="44"/>
      <c r="X2" s="44"/>
      <c r="Y2" s="44" t="s">
        <v>22</v>
      </c>
      <c r="Z2" s="44"/>
      <c r="AA2" s="44" t="s">
        <v>23</v>
      </c>
      <c r="AB2" s="44"/>
      <c r="AC2" s="44"/>
      <c r="AD2" s="44" t="s">
        <v>24</v>
      </c>
      <c r="AE2" s="44"/>
      <c r="AF2" s="44"/>
      <c r="AG2" s="44"/>
      <c r="AH2" s="44"/>
      <c r="AI2" s="44"/>
      <c r="AJ2" s="44"/>
      <c r="AK2" s="44"/>
      <c r="AL2" s="44"/>
      <c r="AM2" s="44"/>
      <c r="AN2" s="44" t="s">
        <v>25</v>
      </c>
      <c r="AO2" s="45" t="s">
        <v>26</v>
      </c>
    </row>
    <row r="3" spans="1:41" s="12" customFormat="1" ht="33.75" x14ac:dyDescent="0.25">
      <c r="A3" s="43"/>
      <c r="B3" s="44"/>
      <c r="C3" s="39"/>
      <c r="D3" s="44"/>
      <c r="E3" s="39"/>
      <c r="F3" s="44"/>
      <c r="G3" s="44"/>
      <c r="H3" s="44"/>
      <c r="I3" s="44"/>
      <c r="J3" s="44"/>
      <c r="K3" s="39"/>
      <c r="L3" s="39"/>
      <c r="M3" s="44"/>
      <c r="N3" s="44"/>
      <c r="O3" s="39"/>
      <c r="P3" s="39"/>
      <c r="Q3" s="39"/>
      <c r="R3" s="39"/>
      <c r="S3" s="39"/>
      <c r="T3" s="39"/>
      <c r="U3" s="44"/>
      <c r="V3" s="13" t="s">
        <v>27</v>
      </c>
      <c r="W3" s="13" t="s">
        <v>28</v>
      </c>
      <c r="X3" s="13" t="s">
        <v>29</v>
      </c>
      <c r="Y3" s="13" t="s">
        <v>28</v>
      </c>
      <c r="Z3" s="13" t="s">
        <v>29</v>
      </c>
      <c r="AA3" s="13" t="s">
        <v>30</v>
      </c>
      <c r="AB3" s="13" t="s">
        <v>28</v>
      </c>
      <c r="AC3" s="13" t="s">
        <v>29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3" t="s">
        <v>39</v>
      </c>
      <c r="AM3" s="13" t="s">
        <v>40</v>
      </c>
      <c r="AN3" s="44"/>
      <c r="AO3" s="45"/>
    </row>
    <row r="4" spans="1:41" x14ac:dyDescent="0.25">
      <c r="A4" s="3"/>
      <c r="B4" s="2" t="s">
        <v>64</v>
      </c>
      <c r="C4" s="2"/>
      <c r="D4" s="6" t="s">
        <v>52</v>
      </c>
      <c r="E4" s="6"/>
      <c r="F4" s="6"/>
      <c r="G4" s="6"/>
      <c r="H4" s="2" t="s">
        <v>49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v>1</v>
      </c>
      <c r="X4" s="2"/>
      <c r="Y4" s="2">
        <v>1</v>
      </c>
      <c r="Z4" s="2"/>
      <c r="AA4" s="2"/>
      <c r="AB4" s="2"/>
      <c r="AC4" s="2"/>
      <c r="AD4" s="2"/>
      <c r="AE4" s="2"/>
      <c r="AF4" s="2"/>
      <c r="AG4" s="2"/>
      <c r="AH4" s="10"/>
      <c r="AI4" s="10"/>
      <c r="AJ4" s="2"/>
      <c r="AK4" s="2"/>
      <c r="AL4" s="2"/>
      <c r="AM4" s="2"/>
      <c r="AN4" s="6"/>
      <c r="AO4" s="8"/>
    </row>
    <row r="5" spans="1:41" x14ac:dyDescent="0.25">
      <c r="A5" s="3"/>
      <c r="B5" s="2"/>
      <c r="C5" s="2"/>
      <c r="D5" s="6" t="s">
        <v>65</v>
      </c>
      <c r="E5" s="6"/>
      <c r="F5" s="6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 t="s">
        <v>50</v>
      </c>
      <c r="AB5" s="2">
        <v>1</v>
      </c>
      <c r="AC5" s="2"/>
      <c r="AD5" s="2"/>
      <c r="AE5" s="2"/>
      <c r="AF5" s="2">
        <v>1</v>
      </c>
      <c r="AG5" s="2"/>
      <c r="AH5" s="10"/>
      <c r="AI5" s="10"/>
      <c r="AJ5" s="2"/>
      <c r="AK5" s="2"/>
      <c r="AL5" s="2"/>
      <c r="AM5" s="2"/>
      <c r="AN5" s="6"/>
      <c r="AO5" s="8"/>
    </row>
    <row r="6" spans="1:41" x14ac:dyDescent="0.25">
      <c r="A6" s="3"/>
      <c r="B6" s="2"/>
      <c r="C6" s="2"/>
      <c r="D6" s="6" t="s">
        <v>66</v>
      </c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 t="s">
        <v>50</v>
      </c>
      <c r="AB6" s="2">
        <v>2</v>
      </c>
      <c r="AC6" s="2"/>
      <c r="AD6" s="2"/>
      <c r="AE6" s="2"/>
      <c r="AF6" s="2">
        <v>1</v>
      </c>
      <c r="AG6" s="2"/>
      <c r="AH6" s="10"/>
      <c r="AI6" s="10"/>
      <c r="AJ6" s="2"/>
      <c r="AK6" s="2"/>
      <c r="AL6" s="2"/>
      <c r="AM6" s="2"/>
      <c r="AN6" s="6"/>
      <c r="AO6" s="8"/>
    </row>
    <row r="7" spans="1:41" x14ac:dyDescent="0.25">
      <c r="A7" s="3"/>
      <c r="B7" s="2"/>
      <c r="C7" s="2"/>
      <c r="D7" s="6" t="s">
        <v>61</v>
      </c>
      <c r="E7" s="6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 t="s">
        <v>53</v>
      </c>
      <c r="AB7" s="2">
        <v>43</v>
      </c>
      <c r="AC7" s="2"/>
      <c r="AD7" s="2"/>
      <c r="AE7" s="2"/>
      <c r="AF7" s="2">
        <v>1</v>
      </c>
      <c r="AG7" s="2"/>
      <c r="AH7" s="10"/>
      <c r="AI7" s="10"/>
      <c r="AJ7" s="2"/>
      <c r="AK7" s="2"/>
      <c r="AL7" s="2"/>
      <c r="AM7" s="2"/>
      <c r="AN7" s="6"/>
      <c r="AO7" s="8"/>
    </row>
    <row r="8" spans="1:41" x14ac:dyDescent="0.25">
      <c r="A8" s="3"/>
      <c r="B8" s="2"/>
      <c r="C8" s="2"/>
      <c r="D8" s="6" t="s">
        <v>68</v>
      </c>
      <c r="E8" s="6"/>
      <c r="F8" s="6"/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 t="s">
        <v>49</v>
      </c>
      <c r="AB8" s="2">
        <v>1</v>
      </c>
      <c r="AC8" s="2"/>
      <c r="AD8" s="2"/>
      <c r="AE8" s="2"/>
      <c r="AF8" s="2">
        <v>1</v>
      </c>
      <c r="AG8" s="2"/>
      <c r="AH8" s="10"/>
      <c r="AI8" s="10"/>
      <c r="AJ8" s="2"/>
      <c r="AK8" s="2"/>
      <c r="AL8" s="2"/>
      <c r="AM8" s="2"/>
      <c r="AN8" s="6"/>
      <c r="AO8" s="8"/>
    </row>
    <row r="9" spans="1:41" x14ac:dyDescent="0.25">
      <c r="A9" s="3"/>
      <c r="B9" s="2"/>
      <c r="C9" s="2"/>
      <c r="D9" s="6"/>
      <c r="E9" s="6"/>
      <c r="F9" s="6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0"/>
      <c r="AI9" s="10"/>
      <c r="AJ9" s="2"/>
      <c r="AK9" s="2"/>
      <c r="AL9" s="2"/>
      <c r="AM9" s="2"/>
      <c r="AN9" s="6"/>
      <c r="AO9" s="8"/>
    </row>
    <row r="10" spans="1:41" x14ac:dyDescent="0.25">
      <c r="A10" s="3"/>
      <c r="B10" s="2"/>
      <c r="C10" s="2"/>
      <c r="D10" s="6"/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0"/>
      <c r="AI10" s="10"/>
      <c r="AJ10" s="2"/>
      <c r="AK10" s="2"/>
      <c r="AL10" s="2"/>
      <c r="AM10" s="2"/>
      <c r="AN10" s="6"/>
      <c r="AO10" s="8"/>
    </row>
    <row r="11" spans="1:41" x14ac:dyDescent="0.25">
      <c r="A11" s="3"/>
      <c r="B11" s="2"/>
      <c r="C11" s="2"/>
      <c r="D11" s="6"/>
      <c r="E11" s="6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0"/>
      <c r="AI11" s="10"/>
      <c r="AJ11" s="2"/>
      <c r="AK11" s="2"/>
      <c r="AL11" s="2"/>
      <c r="AM11" s="2"/>
      <c r="AN11" s="6"/>
      <c r="AO11" s="8"/>
    </row>
    <row r="12" spans="1:41" x14ac:dyDescent="0.25">
      <c r="A12" s="3"/>
      <c r="B12" s="2"/>
      <c r="C12" s="2"/>
      <c r="D12" s="6"/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0"/>
      <c r="AI12" s="10"/>
      <c r="AJ12" s="2"/>
      <c r="AK12" s="2"/>
      <c r="AL12" s="2"/>
      <c r="AM12" s="2"/>
      <c r="AN12" s="6"/>
      <c r="AO12" s="8"/>
    </row>
    <row r="13" spans="1:41" x14ac:dyDescent="0.25">
      <c r="A13" s="3"/>
      <c r="B13" s="2"/>
      <c r="C13" s="2"/>
      <c r="D13" s="6"/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0"/>
      <c r="AI13" s="10"/>
      <c r="AJ13" s="2"/>
      <c r="AK13" s="2"/>
      <c r="AL13" s="2"/>
      <c r="AM13" s="2"/>
      <c r="AN13" s="6"/>
      <c r="AO13" s="8"/>
    </row>
    <row r="14" spans="1:41" x14ac:dyDescent="0.25">
      <c r="A14" s="3"/>
      <c r="B14" s="2"/>
      <c r="C14" s="2"/>
      <c r="D14" s="6"/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0"/>
      <c r="AI14" s="10"/>
      <c r="AJ14" s="2"/>
      <c r="AK14" s="2"/>
      <c r="AL14" s="2"/>
      <c r="AM14" s="2"/>
      <c r="AN14" s="6"/>
      <c r="AO14" s="8"/>
    </row>
    <row r="15" spans="1:41" x14ac:dyDescent="0.25">
      <c r="A15" s="3"/>
      <c r="B15" s="2"/>
      <c r="C15" s="2"/>
      <c r="D15" s="6"/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0"/>
      <c r="AI15" s="10"/>
      <c r="AJ15" s="2"/>
      <c r="AK15" s="2"/>
      <c r="AL15" s="2"/>
      <c r="AM15" s="2"/>
      <c r="AN15" s="6"/>
      <c r="AO15" s="8"/>
    </row>
    <row r="16" spans="1:41" x14ac:dyDescent="0.25">
      <c r="A16" s="3"/>
      <c r="B16" s="2"/>
      <c r="C16" s="2"/>
      <c r="D16" s="6"/>
      <c r="E16" s="6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0"/>
      <c r="AI16" s="10"/>
      <c r="AJ16" s="2"/>
      <c r="AK16" s="2"/>
      <c r="AL16" s="2"/>
      <c r="AM16" s="2"/>
      <c r="AN16" s="6"/>
      <c r="AO16" s="8"/>
    </row>
    <row r="17" spans="1:41" x14ac:dyDescent="0.25">
      <c r="A17" s="3"/>
      <c r="B17" s="2"/>
      <c r="C17" s="2"/>
      <c r="D17" s="6"/>
      <c r="E17" s="6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0"/>
      <c r="AI17" s="10"/>
      <c r="AJ17" s="2"/>
      <c r="AK17" s="2"/>
      <c r="AL17" s="2"/>
      <c r="AM17" s="2"/>
      <c r="AN17" s="6"/>
      <c r="AO17" s="8"/>
    </row>
    <row r="18" spans="1:41" x14ac:dyDescent="0.25">
      <c r="A18" s="3"/>
      <c r="B18" s="2"/>
      <c r="C18" s="2"/>
      <c r="D18" s="6"/>
      <c r="E18" s="6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10"/>
      <c r="AI18" s="10"/>
      <c r="AJ18" s="2"/>
      <c r="AK18" s="2"/>
      <c r="AL18" s="2"/>
      <c r="AM18" s="2"/>
      <c r="AN18" s="6"/>
      <c r="AO18" s="8"/>
    </row>
    <row r="19" spans="1:41" x14ac:dyDescent="0.25">
      <c r="A19" s="3"/>
      <c r="B19" s="2"/>
      <c r="C19" s="2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10"/>
      <c r="AJ19" s="2"/>
      <c r="AK19" s="2"/>
      <c r="AL19" s="2"/>
      <c r="AM19" s="2"/>
      <c r="AN19" s="6"/>
      <c r="AO19" s="8"/>
    </row>
    <row r="20" spans="1:41" x14ac:dyDescent="0.25">
      <c r="A20" s="3"/>
      <c r="B20" s="2"/>
      <c r="C20" s="2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0"/>
      <c r="AI20" s="10"/>
      <c r="AJ20" s="2"/>
      <c r="AK20" s="2"/>
      <c r="AL20" s="2"/>
      <c r="AM20" s="2"/>
      <c r="AN20" s="6"/>
      <c r="AO20" s="8"/>
    </row>
    <row r="21" spans="1:41" x14ac:dyDescent="0.25">
      <c r="A21" s="3"/>
      <c r="B21" s="2"/>
      <c r="C21" s="2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0"/>
      <c r="AI21" s="10"/>
      <c r="AJ21" s="2"/>
      <c r="AK21" s="2"/>
      <c r="AL21" s="2"/>
      <c r="AM21" s="2"/>
      <c r="AN21" s="6"/>
      <c r="AO21" s="8"/>
    </row>
    <row r="22" spans="1:41" x14ac:dyDescent="0.25">
      <c r="A22" s="3"/>
      <c r="B22" s="2"/>
      <c r="C22" s="2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0"/>
      <c r="AI22" s="10"/>
      <c r="AJ22" s="2"/>
      <c r="AK22" s="2"/>
      <c r="AL22" s="2"/>
      <c r="AM22" s="2"/>
      <c r="AN22" s="6"/>
      <c r="AO22" s="8"/>
    </row>
    <row r="23" spans="1:41" x14ac:dyDescent="0.25">
      <c r="A23" s="3"/>
      <c r="B23" s="2"/>
      <c r="C23" s="2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0"/>
      <c r="AI23" s="10"/>
      <c r="AJ23" s="2"/>
      <c r="AK23" s="2"/>
      <c r="AL23" s="2"/>
      <c r="AM23" s="2"/>
      <c r="AN23" s="6"/>
      <c r="AO23" s="8"/>
    </row>
    <row r="24" spans="1:41" x14ac:dyDescent="0.25">
      <c r="A24" s="3"/>
      <c r="B24" s="2"/>
      <c r="C24" s="2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0"/>
      <c r="AI24" s="10"/>
      <c r="AJ24" s="2"/>
      <c r="AK24" s="2"/>
      <c r="AL24" s="2"/>
      <c r="AM24" s="2"/>
      <c r="AN24" s="6"/>
      <c r="AO24" s="8"/>
    </row>
    <row r="25" spans="1:41" x14ac:dyDescent="0.25">
      <c r="A25" s="3"/>
      <c r="B25" s="2"/>
      <c r="C25" s="2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0"/>
      <c r="AI25" s="10"/>
      <c r="AJ25" s="2"/>
      <c r="AK25" s="2"/>
      <c r="AL25" s="2"/>
      <c r="AM25" s="2"/>
      <c r="AN25" s="6"/>
      <c r="AO25" s="8"/>
    </row>
    <row r="26" spans="1:41" x14ac:dyDescent="0.25">
      <c r="A26" s="3"/>
      <c r="B26" s="2"/>
      <c r="C26" s="2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0"/>
      <c r="AI26" s="10"/>
      <c r="AJ26" s="2"/>
      <c r="AK26" s="2"/>
      <c r="AL26" s="2"/>
      <c r="AM26" s="2"/>
      <c r="AN26" s="6"/>
      <c r="AO26" s="8"/>
    </row>
    <row r="27" spans="1:41" x14ac:dyDescent="0.25">
      <c r="A27" s="3"/>
      <c r="B27" s="2"/>
      <c r="C27" s="2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0"/>
      <c r="AI27" s="10"/>
      <c r="AJ27" s="2"/>
      <c r="AK27" s="2"/>
      <c r="AL27" s="2"/>
      <c r="AM27" s="2"/>
      <c r="AN27" s="6"/>
      <c r="AO27" s="8"/>
    </row>
    <row r="28" spans="1:41" x14ac:dyDescent="0.25">
      <c r="A28" s="3"/>
      <c r="B28" s="2"/>
      <c r="C28" s="2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0"/>
      <c r="AI28" s="10"/>
      <c r="AJ28" s="2"/>
      <c r="AK28" s="2"/>
      <c r="AL28" s="2"/>
      <c r="AM28" s="2"/>
      <c r="AN28" s="6"/>
      <c r="AO28" s="8"/>
    </row>
    <row r="29" spans="1:41" x14ac:dyDescent="0.25">
      <c r="A29" s="3"/>
      <c r="B29" s="2"/>
      <c r="C29" s="2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0"/>
      <c r="AI29" s="10"/>
      <c r="AJ29" s="2"/>
      <c r="AK29" s="2"/>
      <c r="AL29" s="2"/>
      <c r="AM29" s="2"/>
      <c r="AN29" s="6"/>
      <c r="AO29" s="8"/>
    </row>
    <row r="30" spans="1:41" x14ac:dyDescent="0.25">
      <c r="A30" s="3"/>
      <c r="B30" s="2"/>
      <c r="C30" s="2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0"/>
      <c r="AI30" s="10"/>
      <c r="AJ30" s="2"/>
      <c r="AK30" s="2"/>
      <c r="AL30" s="2"/>
      <c r="AM30" s="2"/>
      <c r="AN30" s="6"/>
      <c r="AO30" s="8"/>
    </row>
    <row r="31" spans="1:41" x14ac:dyDescent="0.25">
      <c r="A31" s="3"/>
      <c r="B31" s="2"/>
      <c r="C31" s="2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0"/>
      <c r="AI31" s="10"/>
      <c r="AJ31" s="2"/>
      <c r="AK31" s="2"/>
      <c r="AL31" s="2"/>
      <c r="AM31" s="2"/>
      <c r="AN31" s="6"/>
      <c r="AO31" s="8"/>
    </row>
    <row r="32" spans="1:41" x14ac:dyDescent="0.25">
      <c r="A32" s="3"/>
      <c r="B32" s="2"/>
      <c r="C32" s="2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0"/>
      <c r="AI32" s="10"/>
      <c r="AJ32" s="2"/>
      <c r="AK32" s="2"/>
      <c r="AL32" s="2"/>
      <c r="AM32" s="2"/>
      <c r="AN32" s="6"/>
      <c r="AO32" s="8"/>
    </row>
    <row r="33" spans="1:41" x14ac:dyDescent="0.25">
      <c r="A33" s="3"/>
      <c r="B33" s="2"/>
      <c r="C33" s="2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0"/>
      <c r="AI33" s="10"/>
      <c r="AJ33" s="2"/>
      <c r="AK33" s="2"/>
      <c r="AL33" s="2"/>
      <c r="AM33" s="2"/>
      <c r="AN33" s="6"/>
      <c r="AO33" s="8"/>
    </row>
    <row r="34" spans="1:41" x14ac:dyDescent="0.25">
      <c r="A34" s="3"/>
      <c r="B34" s="2"/>
      <c r="C34" s="2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0"/>
      <c r="AI34" s="10"/>
      <c r="AJ34" s="2"/>
      <c r="AK34" s="2"/>
      <c r="AL34" s="2"/>
      <c r="AM34" s="2"/>
      <c r="AN34" s="6"/>
      <c r="AO34" s="8"/>
    </row>
    <row r="35" spans="1:41" x14ac:dyDescent="0.25">
      <c r="A35" s="3"/>
      <c r="B35" s="2"/>
      <c r="C35" s="2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0"/>
      <c r="AI35" s="10"/>
      <c r="AJ35" s="2"/>
      <c r="AK35" s="2"/>
      <c r="AL35" s="2"/>
      <c r="AM35" s="2"/>
      <c r="AN35" s="6"/>
      <c r="AO35" s="8"/>
    </row>
    <row r="36" spans="1:41" x14ac:dyDescent="0.25">
      <c r="A36" s="3"/>
      <c r="B36" s="2"/>
      <c r="C36" s="2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0"/>
      <c r="AI36" s="10"/>
      <c r="AJ36" s="2"/>
      <c r="AK36" s="2"/>
      <c r="AL36" s="2"/>
      <c r="AM36" s="2"/>
      <c r="AN36" s="6"/>
      <c r="AO36" s="8"/>
    </row>
    <row r="37" spans="1:41" x14ac:dyDescent="0.25">
      <c r="A37" s="3"/>
      <c r="B37" s="2"/>
      <c r="C37" s="2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0"/>
      <c r="AI37" s="10"/>
      <c r="AJ37" s="2"/>
      <c r="AK37" s="2"/>
      <c r="AL37" s="2"/>
      <c r="AM37" s="2"/>
      <c r="AN37" s="6"/>
      <c r="AO37" s="8"/>
    </row>
    <row r="38" spans="1:41" x14ac:dyDescent="0.25">
      <c r="A38" s="3"/>
      <c r="B38" s="2"/>
      <c r="C38" s="2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0"/>
      <c r="AI38" s="10"/>
      <c r="AJ38" s="2"/>
      <c r="AK38" s="2"/>
      <c r="AL38" s="2"/>
      <c r="AM38" s="2"/>
      <c r="AN38" s="6"/>
      <c r="AO38" s="8"/>
    </row>
    <row r="39" spans="1:41" x14ac:dyDescent="0.25">
      <c r="A39" s="3"/>
      <c r="B39" s="2"/>
      <c r="C39" s="2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0"/>
      <c r="AI39" s="10"/>
      <c r="AJ39" s="2"/>
      <c r="AK39" s="2"/>
      <c r="AL39" s="2"/>
      <c r="AM39" s="2"/>
      <c r="AN39" s="6"/>
      <c r="AO39" s="8"/>
    </row>
    <row r="40" spans="1:41" x14ac:dyDescent="0.25">
      <c r="A40" s="3"/>
      <c r="B40" s="2"/>
      <c r="C40" s="2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0"/>
      <c r="AI40" s="10"/>
      <c r="AJ40" s="2"/>
      <c r="AK40" s="2"/>
      <c r="AL40" s="2"/>
      <c r="AM40" s="2"/>
      <c r="AN40" s="6"/>
      <c r="AO40" s="8"/>
    </row>
    <row r="41" spans="1:41" x14ac:dyDescent="0.25">
      <c r="A41" s="3"/>
      <c r="B41" s="2"/>
      <c r="C41" s="2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0"/>
      <c r="AI41" s="10"/>
      <c r="AJ41" s="2"/>
      <c r="AK41" s="2"/>
      <c r="AL41" s="2"/>
      <c r="AM41" s="2"/>
      <c r="AN41" s="6"/>
      <c r="AO41" s="8"/>
    </row>
    <row r="42" spans="1:41" x14ac:dyDescent="0.25">
      <c r="A42" s="3"/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0"/>
      <c r="AI42" s="10"/>
      <c r="AJ42" s="2"/>
      <c r="AK42" s="2"/>
      <c r="AL42" s="2"/>
      <c r="AM42" s="2"/>
      <c r="AN42" s="6"/>
      <c r="AO42" s="8"/>
    </row>
    <row r="43" spans="1:41" x14ac:dyDescent="0.25">
      <c r="A43" s="3"/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0"/>
      <c r="AI43" s="10"/>
      <c r="AJ43" s="2"/>
      <c r="AK43" s="2"/>
      <c r="AL43" s="2"/>
      <c r="AM43" s="2"/>
      <c r="AN43" s="6"/>
      <c r="AO43" s="8"/>
    </row>
    <row r="44" spans="1:41" x14ac:dyDescent="0.25">
      <c r="A44" s="3"/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0"/>
      <c r="AI44" s="10"/>
      <c r="AJ44" s="2"/>
      <c r="AK44" s="2"/>
      <c r="AL44" s="2"/>
      <c r="AM44" s="2"/>
      <c r="AN44" s="6"/>
      <c r="AO44" s="8"/>
    </row>
    <row r="45" spans="1:41" x14ac:dyDescent="0.25">
      <c r="A45" s="3"/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0"/>
      <c r="AI45" s="10"/>
      <c r="AJ45" s="2"/>
      <c r="AK45" s="2"/>
      <c r="AL45" s="2"/>
      <c r="AM45" s="2"/>
      <c r="AN45" s="6"/>
      <c r="AO45" s="8"/>
    </row>
    <row r="46" spans="1:41" x14ac:dyDescent="0.25">
      <c r="A46" s="3"/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0"/>
      <c r="AI46" s="10"/>
      <c r="AJ46" s="2"/>
      <c r="AK46" s="2"/>
      <c r="AL46" s="2"/>
      <c r="AM46" s="2"/>
      <c r="AN46" s="6"/>
      <c r="AO46" s="8"/>
    </row>
    <row r="47" spans="1:41" x14ac:dyDescent="0.25">
      <c r="A47" s="3"/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0"/>
      <c r="AI47" s="10"/>
      <c r="AJ47" s="2"/>
      <c r="AK47" s="2"/>
      <c r="AL47" s="2"/>
      <c r="AM47" s="2"/>
      <c r="AN47" s="6"/>
      <c r="AO47" s="8"/>
    </row>
    <row r="48" spans="1:41" x14ac:dyDescent="0.25">
      <c r="A48" s="3"/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0"/>
      <c r="AI48" s="10"/>
      <c r="AJ48" s="2"/>
      <c r="AK48" s="2"/>
      <c r="AL48" s="2"/>
      <c r="AM48" s="2"/>
      <c r="AN48" s="6"/>
      <c r="AO48" s="8"/>
    </row>
    <row r="49" spans="1:41" x14ac:dyDescent="0.25">
      <c r="A49" s="3"/>
      <c r="B49" s="2"/>
      <c r="C49" s="2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0"/>
      <c r="AI49" s="10"/>
      <c r="AJ49" s="2"/>
      <c r="AK49" s="2"/>
      <c r="AL49" s="2"/>
      <c r="AM49" s="2"/>
      <c r="AN49" s="6"/>
      <c r="AO49" s="8"/>
    </row>
    <row r="50" spans="1:41" x14ac:dyDescent="0.25">
      <c r="A50" s="3"/>
      <c r="B50" s="2"/>
      <c r="C50" s="2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0"/>
      <c r="AI50" s="10"/>
      <c r="AJ50" s="2"/>
      <c r="AK50" s="2"/>
      <c r="AL50" s="2"/>
      <c r="AM50" s="2"/>
      <c r="AN50" s="6"/>
      <c r="AO50" s="8"/>
    </row>
    <row r="51" spans="1:41" x14ac:dyDescent="0.25">
      <c r="A51" s="3"/>
      <c r="B51" s="2"/>
      <c r="C51" s="2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"/>
      <c r="AI51" s="10"/>
      <c r="AJ51" s="2"/>
      <c r="AK51" s="2"/>
      <c r="AL51" s="2"/>
      <c r="AM51" s="2"/>
      <c r="AN51" s="6"/>
      <c r="AO51" s="8"/>
    </row>
    <row r="52" spans="1:41" x14ac:dyDescent="0.25">
      <c r="A52" s="3"/>
      <c r="B52" s="2"/>
      <c r="C52" s="2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"/>
      <c r="AI52" s="10"/>
      <c r="AJ52" s="2"/>
      <c r="AK52" s="2"/>
      <c r="AL52" s="2"/>
      <c r="AM52" s="2"/>
      <c r="AN52" s="6"/>
      <c r="AO52" s="8"/>
    </row>
    <row r="53" spans="1:41" x14ac:dyDescent="0.25">
      <c r="A53" s="3"/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"/>
      <c r="AI53" s="10"/>
      <c r="AJ53" s="2"/>
      <c r="AK53" s="2"/>
      <c r="AL53" s="2"/>
      <c r="AM53" s="2"/>
      <c r="AN53" s="6"/>
      <c r="AO53" s="8"/>
    </row>
    <row r="54" spans="1:41" x14ac:dyDescent="0.25">
      <c r="A54" s="3"/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"/>
      <c r="AI54" s="10"/>
      <c r="AJ54" s="2"/>
      <c r="AK54" s="2"/>
      <c r="AL54" s="2"/>
      <c r="AM54" s="2"/>
      <c r="AN54" s="6"/>
      <c r="AO54" s="8"/>
    </row>
    <row r="55" spans="1:41" x14ac:dyDescent="0.25">
      <c r="A55" s="3"/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"/>
      <c r="AI55" s="10"/>
      <c r="AJ55" s="2"/>
      <c r="AK55" s="2"/>
      <c r="AL55" s="2"/>
      <c r="AM55" s="2"/>
      <c r="AN55" s="6"/>
      <c r="AO55" s="8"/>
    </row>
    <row r="56" spans="1:41" x14ac:dyDescent="0.25">
      <c r="A56" s="3"/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0"/>
      <c r="AI56" s="10"/>
      <c r="AJ56" s="2"/>
      <c r="AK56" s="2"/>
      <c r="AL56" s="2"/>
      <c r="AM56" s="2"/>
      <c r="AN56" s="6"/>
      <c r="AO56" s="8"/>
    </row>
    <row r="57" spans="1:41" x14ac:dyDescent="0.25">
      <c r="A57" s="3"/>
      <c r="B57" s="2"/>
      <c r="C57" s="2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0"/>
      <c r="AI57" s="10"/>
      <c r="AJ57" s="2"/>
      <c r="AK57" s="2"/>
      <c r="AL57" s="2"/>
      <c r="AM57" s="2"/>
      <c r="AN57" s="6"/>
      <c r="AO57" s="8"/>
    </row>
    <row r="58" spans="1:41" x14ac:dyDescent="0.25">
      <c r="A58" s="3"/>
      <c r="B58" s="2"/>
      <c r="C58" s="2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10"/>
      <c r="AI58" s="10"/>
      <c r="AJ58" s="2"/>
      <c r="AK58" s="2"/>
      <c r="AL58" s="2"/>
      <c r="AM58" s="2"/>
      <c r="AN58" s="6"/>
      <c r="AO58" s="8"/>
    </row>
    <row r="59" spans="1:41" x14ac:dyDescent="0.25">
      <c r="A59" s="3"/>
      <c r="B59" s="2"/>
      <c r="C59" s="2"/>
      <c r="D59" s="6"/>
      <c r="E59" s="6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0"/>
      <c r="AI59" s="10"/>
      <c r="AJ59" s="2"/>
      <c r="AK59" s="2"/>
      <c r="AL59" s="2"/>
      <c r="AM59" s="2"/>
      <c r="AN59" s="6"/>
      <c r="AO59" s="8"/>
    </row>
    <row r="60" spans="1:41" x14ac:dyDescent="0.25">
      <c r="A60" s="3"/>
      <c r="B60" s="2"/>
      <c r="C60" s="2"/>
      <c r="D60" s="6"/>
      <c r="E60" s="6"/>
      <c r="F60" s="6"/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10"/>
      <c r="AI60" s="10"/>
      <c r="AJ60" s="2"/>
      <c r="AK60" s="2"/>
      <c r="AL60" s="2"/>
      <c r="AM60" s="2"/>
      <c r="AN60" s="6"/>
      <c r="AO60" s="8"/>
    </row>
    <row r="61" spans="1:41" x14ac:dyDescent="0.25">
      <c r="A61" s="3"/>
      <c r="B61" s="2"/>
      <c r="C61" s="2"/>
      <c r="D61" s="6"/>
      <c r="E61" s="6"/>
      <c r="F61" s="6"/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10"/>
      <c r="AI61" s="10"/>
      <c r="AJ61" s="2"/>
      <c r="AK61" s="2"/>
      <c r="AL61" s="2"/>
      <c r="AM61" s="2"/>
      <c r="AN61" s="6"/>
      <c r="AO61" s="8"/>
    </row>
    <row r="62" spans="1:41" x14ac:dyDescent="0.25">
      <c r="A62" s="3"/>
      <c r="B62" s="2"/>
      <c r="C62" s="2"/>
      <c r="D62" s="6"/>
      <c r="E62" s="6"/>
      <c r="F62" s="6"/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10"/>
      <c r="AI62" s="10"/>
      <c r="AJ62" s="2"/>
      <c r="AK62" s="2"/>
      <c r="AL62" s="2"/>
      <c r="AM62" s="2"/>
      <c r="AN62" s="6"/>
      <c r="AO62" s="8"/>
    </row>
    <row r="63" spans="1:41" ht="12" thickBot="1" x14ac:dyDescent="0.3">
      <c r="A63" s="4"/>
      <c r="B63" s="5"/>
      <c r="C63" s="5"/>
      <c r="D63" s="7"/>
      <c r="E63" s="7"/>
      <c r="F63" s="7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11"/>
      <c r="AI63" s="11"/>
      <c r="AJ63" s="5"/>
      <c r="AK63" s="5"/>
      <c r="AL63" s="5"/>
      <c r="AM63" s="5"/>
      <c r="AN63" s="7"/>
      <c r="AO63" s="9"/>
    </row>
  </sheetData>
  <mergeCells count="28">
    <mergeCell ref="AO2:AO3"/>
    <mergeCell ref="P2:P3"/>
    <mergeCell ref="Q2:Q3"/>
    <mergeCell ref="R2:R3"/>
    <mergeCell ref="S2:S3"/>
    <mergeCell ref="T2:T3"/>
    <mergeCell ref="U2:U3"/>
    <mergeCell ref="V2:X2"/>
    <mergeCell ref="Y2:Z2"/>
    <mergeCell ref="AA2:AC2"/>
    <mergeCell ref="AD2:AM2"/>
    <mergeCell ref="AN2:AN3"/>
    <mergeCell ref="O2:O3"/>
    <mergeCell ref="A1:A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5" right="0.5" top="0.75" bottom="0.75" header="0.3" footer="0.3"/>
  <pageSetup paperSize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D50C-FC06-46FA-A184-16DC2349BE0C}">
  <dimension ref="A1:G59"/>
  <sheetViews>
    <sheetView showZeros="0" topLeftCell="A2" workbookViewId="0">
      <selection activeCell="B25" sqref="B25"/>
    </sheetView>
  </sheetViews>
  <sheetFormatPr defaultRowHeight="11.25" x14ac:dyDescent="0.2"/>
  <cols>
    <col min="1" max="1" width="9.140625" style="32"/>
    <col min="2" max="2" width="98.28515625" style="14" customWidth="1"/>
    <col min="3" max="3" width="9.140625" style="14"/>
    <col min="4" max="4" width="14.5703125" style="32" customWidth="1"/>
    <col min="5" max="5" width="9.140625" style="14"/>
    <col min="6" max="6" width="21.42578125" style="14" customWidth="1"/>
    <col min="7" max="7" width="32.5703125" style="14" customWidth="1"/>
    <col min="8" max="16384" width="9.140625" style="14"/>
  </cols>
  <sheetData>
    <row r="1" spans="1:7" x14ac:dyDescent="0.2">
      <c r="A1" s="46" t="s">
        <v>51</v>
      </c>
      <c r="B1" s="47"/>
      <c r="C1" s="47"/>
      <c r="D1" s="47"/>
      <c r="E1" s="47"/>
      <c r="F1" s="47"/>
      <c r="G1" s="48"/>
    </row>
    <row r="2" spans="1:7" ht="33.75" x14ac:dyDescent="0.2">
      <c r="A2" s="15" t="s">
        <v>41</v>
      </c>
      <c r="B2" s="16" t="s">
        <v>42</v>
      </c>
      <c r="C2" s="13" t="s">
        <v>43</v>
      </c>
      <c r="D2" s="16" t="s">
        <v>44</v>
      </c>
      <c r="E2" s="17" t="s">
        <v>45</v>
      </c>
      <c r="F2" s="17" t="s">
        <v>46</v>
      </c>
      <c r="G2" s="18" t="s">
        <v>47</v>
      </c>
    </row>
    <row r="3" spans="1:7" x14ac:dyDescent="0.2">
      <c r="A3" s="19">
        <f>[1]Sheet1!C4</f>
        <v>0</v>
      </c>
      <c r="B3" s="20" t="str">
        <f>[1]Sheet1!D4</f>
        <v>IRRIGATION SYSTEM - MODIFY EXISTING SYSTEM</v>
      </c>
      <c r="C3" s="21">
        <f>[1]Sheet1!E4</f>
        <v>0</v>
      </c>
      <c r="D3" s="22">
        <f>[1]Sheet1!Y4</f>
        <v>1</v>
      </c>
      <c r="E3" s="22">
        <f>[1]Sheet1!AF4</f>
        <v>0</v>
      </c>
      <c r="F3" s="20">
        <f>[1]Sheet1!AJ4</f>
        <v>0</v>
      </c>
      <c r="G3" s="23">
        <f>[1]Sheet1!AN4</f>
        <v>0</v>
      </c>
    </row>
    <row r="4" spans="1:7" x14ac:dyDescent="0.2">
      <c r="A4" s="24">
        <f>[1]Sheet1!C5</f>
        <v>0</v>
      </c>
      <c r="B4" s="20" t="str">
        <f>[1]Sheet1!D5</f>
        <v>POP-UP SPRAY HEAD, 15' QUARTER</v>
      </c>
      <c r="C4" s="21">
        <f>[1]Sheet1!E5</f>
        <v>0</v>
      </c>
      <c r="D4" s="22">
        <f>[1]Sheet1!Y5</f>
        <v>0</v>
      </c>
      <c r="E4" s="22">
        <f>[1]Sheet1!AF5</f>
        <v>1</v>
      </c>
      <c r="F4" s="20">
        <f>[1]Sheet1!AJ5</f>
        <v>0</v>
      </c>
      <c r="G4" s="23">
        <f>[1]Sheet1!AN5</f>
        <v>0</v>
      </c>
    </row>
    <row r="5" spans="1:7" x14ac:dyDescent="0.2">
      <c r="A5" s="24">
        <f>[1]Sheet1!C6</f>
        <v>0</v>
      </c>
      <c r="B5" s="20" t="str">
        <f>[1]Sheet1!D6</f>
        <v>POP-UP SPRAY HEAD, 15' HALF</v>
      </c>
      <c r="C5" s="21">
        <f>[1]Sheet1!E6</f>
        <v>0</v>
      </c>
      <c r="D5" s="22">
        <f>[1]Sheet1!Y6</f>
        <v>0</v>
      </c>
      <c r="E5" s="22">
        <f>[1]Sheet1!AF6</f>
        <v>1</v>
      </c>
      <c r="F5" s="20">
        <f>[1]Sheet1!AJ6</f>
        <v>0</v>
      </c>
      <c r="G5" s="23">
        <f>[1]Sheet1!AN6</f>
        <v>0</v>
      </c>
    </row>
    <row r="6" spans="1:7" x14ac:dyDescent="0.2">
      <c r="A6" s="24">
        <f>[1]Sheet1!C8</f>
        <v>0</v>
      </c>
      <c r="B6" s="20" t="str">
        <f>[1]Sheet1!D7</f>
        <v>PVC LATERAL LINE (MATCH EXISTING SIZE AND SCHEDULE)</v>
      </c>
      <c r="C6" s="21">
        <f>[1]Sheet1!E7</f>
        <v>0</v>
      </c>
      <c r="D6" s="22">
        <f>[1]Sheet1!Y7</f>
        <v>0</v>
      </c>
      <c r="E6" s="22">
        <f>[1]Sheet1!AF7</f>
        <v>1</v>
      </c>
      <c r="F6" s="20">
        <f>[1]Sheet1!AJ7</f>
        <v>0</v>
      </c>
      <c r="G6" s="23">
        <f>[1]Sheet1!AN7</f>
        <v>0</v>
      </c>
    </row>
    <row r="7" spans="1:7" x14ac:dyDescent="0.2">
      <c r="A7" s="24">
        <f>[1]Sheet1!C9</f>
        <v>0</v>
      </c>
      <c r="B7" s="20" t="str">
        <f>[1]Sheet1!D8</f>
        <v>EXCAVATION OF EXISTING PIPES AND MULCH RESTORATION</v>
      </c>
      <c r="C7" s="21">
        <f>[1]Sheet1!E8</f>
        <v>0</v>
      </c>
      <c r="D7" s="22">
        <f>[1]Sheet1!Y8</f>
        <v>0</v>
      </c>
      <c r="E7" s="22">
        <f>[1]Sheet1!AF8</f>
        <v>1</v>
      </c>
      <c r="F7" s="20">
        <f>[1]Sheet1!AJ8</f>
        <v>0</v>
      </c>
      <c r="G7" s="23">
        <f>[1]Sheet1!AN8</f>
        <v>0</v>
      </c>
    </row>
    <row r="8" spans="1:7" x14ac:dyDescent="0.2">
      <c r="A8" s="24">
        <f>[1]Sheet1!C10</f>
        <v>0</v>
      </c>
      <c r="B8" s="20">
        <f>[1]Sheet1!D9</f>
        <v>0</v>
      </c>
      <c r="C8" s="21">
        <f>[1]Sheet1!E9</f>
        <v>0</v>
      </c>
      <c r="D8" s="22">
        <f>[1]Sheet1!Y9</f>
        <v>0</v>
      </c>
      <c r="E8" s="22">
        <f>[1]Sheet1!AF9</f>
        <v>0</v>
      </c>
      <c r="F8" s="20">
        <f>[1]Sheet1!AJ9</f>
        <v>0</v>
      </c>
      <c r="G8" s="23">
        <f>[1]Sheet1!AN9</f>
        <v>0</v>
      </c>
    </row>
    <row r="9" spans="1:7" x14ac:dyDescent="0.2">
      <c r="A9" s="24">
        <f>[1]Sheet1!C13</f>
        <v>0</v>
      </c>
      <c r="B9" s="20">
        <f>[1]Sheet1!D10</f>
        <v>0</v>
      </c>
      <c r="C9" s="21">
        <f>[1]Sheet1!E10</f>
        <v>0</v>
      </c>
      <c r="D9" s="22">
        <f>[1]Sheet1!Y10</f>
        <v>0</v>
      </c>
      <c r="E9" s="22">
        <f>[1]Sheet1!AF10</f>
        <v>0</v>
      </c>
      <c r="F9" s="20">
        <f>[1]Sheet1!AJ10</f>
        <v>0</v>
      </c>
      <c r="G9" s="23">
        <f>[1]Sheet1!AN10</f>
        <v>0</v>
      </c>
    </row>
    <row r="10" spans="1:7" x14ac:dyDescent="0.2">
      <c r="A10" s="24">
        <f>[1]Sheet1!C14</f>
        <v>0</v>
      </c>
      <c r="B10" s="20">
        <f>[1]Sheet1!D11</f>
        <v>0</v>
      </c>
      <c r="C10" s="21">
        <f>[1]Sheet1!E11</f>
        <v>0</v>
      </c>
      <c r="D10" s="22">
        <f>[1]Sheet1!Y11</f>
        <v>0</v>
      </c>
      <c r="E10" s="22">
        <f>[1]Sheet1!AF11</f>
        <v>0</v>
      </c>
      <c r="F10" s="20">
        <f>[1]Sheet1!AJ11</f>
        <v>0</v>
      </c>
      <c r="G10" s="23">
        <f>[1]Sheet1!AN11</f>
        <v>0</v>
      </c>
    </row>
    <row r="11" spans="1:7" x14ac:dyDescent="0.2">
      <c r="A11" s="24">
        <f>[1]Sheet1!C15</f>
        <v>0</v>
      </c>
      <c r="B11" s="20">
        <f>[1]Sheet1!D12</f>
        <v>0</v>
      </c>
      <c r="C11" s="21">
        <f>[1]Sheet1!E12</f>
        <v>0</v>
      </c>
      <c r="D11" s="22">
        <f>[1]Sheet1!Y12</f>
        <v>0</v>
      </c>
      <c r="E11" s="22">
        <f>[1]Sheet1!AF12</f>
        <v>0</v>
      </c>
      <c r="F11" s="20">
        <f>[1]Sheet1!AJ12</f>
        <v>0</v>
      </c>
      <c r="G11" s="23">
        <f>[1]Sheet1!AN12</f>
        <v>0</v>
      </c>
    </row>
    <row r="12" spans="1:7" x14ac:dyDescent="0.2">
      <c r="A12" s="24">
        <f>[1]Sheet1!C16</f>
        <v>0</v>
      </c>
      <c r="B12" s="20">
        <f>[1]Sheet1!D13</f>
        <v>0</v>
      </c>
      <c r="C12" s="21">
        <f>[1]Sheet1!E13</f>
        <v>0</v>
      </c>
      <c r="D12" s="22">
        <f>[1]Sheet1!Y13</f>
        <v>0</v>
      </c>
      <c r="E12" s="22">
        <f>[1]Sheet1!AF13</f>
        <v>0</v>
      </c>
      <c r="F12" s="20">
        <f>[1]Sheet1!AJ13</f>
        <v>0</v>
      </c>
      <c r="G12" s="23">
        <f>[1]Sheet1!AN13</f>
        <v>0</v>
      </c>
    </row>
    <row r="13" spans="1:7" x14ac:dyDescent="0.2">
      <c r="A13" s="24">
        <f>[1]Sheet1!C17</f>
        <v>0</v>
      </c>
      <c r="B13" s="20">
        <f>[1]Sheet1!D14</f>
        <v>0</v>
      </c>
      <c r="C13" s="21">
        <f>[1]Sheet1!E14</f>
        <v>0</v>
      </c>
      <c r="D13" s="22">
        <f>[1]Sheet1!Y14</f>
        <v>0</v>
      </c>
      <c r="E13" s="22">
        <f>[1]Sheet1!AF14</f>
        <v>0</v>
      </c>
      <c r="F13" s="20">
        <f>[1]Sheet1!AJ14</f>
        <v>0</v>
      </c>
      <c r="G13" s="23">
        <f>[1]Sheet1!AN14</f>
        <v>0</v>
      </c>
    </row>
    <row r="14" spans="1:7" x14ac:dyDescent="0.2">
      <c r="A14" s="24">
        <f>[1]Sheet1!C18</f>
        <v>0</v>
      </c>
      <c r="B14" s="20">
        <f>[1]Sheet1!D15</f>
        <v>0</v>
      </c>
      <c r="C14" s="21">
        <f>[1]Sheet1!E15</f>
        <v>0</v>
      </c>
      <c r="D14" s="22">
        <f>[1]Sheet1!Y15</f>
        <v>0</v>
      </c>
      <c r="E14" s="22">
        <f>[1]Sheet1!AF15</f>
        <v>0</v>
      </c>
      <c r="F14" s="20">
        <f>[1]Sheet1!AJ15</f>
        <v>0</v>
      </c>
      <c r="G14" s="23">
        <f>[1]Sheet1!AN15</f>
        <v>0</v>
      </c>
    </row>
    <row r="15" spans="1:7" x14ac:dyDescent="0.2">
      <c r="A15" s="24">
        <f>[1]Sheet1!C19</f>
        <v>0</v>
      </c>
      <c r="B15" s="20">
        <f>[1]Sheet1!D16</f>
        <v>0</v>
      </c>
      <c r="C15" s="21">
        <f>[1]Sheet1!E16</f>
        <v>0</v>
      </c>
      <c r="D15" s="22">
        <f>[1]Sheet1!Y16</f>
        <v>0</v>
      </c>
      <c r="E15" s="22">
        <f>[1]Sheet1!AF16</f>
        <v>0</v>
      </c>
      <c r="F15" s="20">
        <f>[1]Sheet1!AJ16</f>
        <v>0</v>
      </c>
      <c r="G15" s="23">
        <f>[1]Sheet1!AN16</f>
        <v>0</v>
      </c>
    </row>
    <row r="16" spans="1:7" x14ac:dyDescent="0.2">
      <c r="A16" s="24">
        <f>[1]Sheet1!C20</f>
        <v>0</v>
      </c>
      <c r="B16" s="20">
        <f>[1]Sheet1!D17</f>
        <v>0</v>
      </c>
      <c r="C16" s="21">
        <f>[1]Sheet1!E17</f>
        <v>0</v>
      </c>
      <c r="D16" s="22">
        <f>[1]Sheet1!Y17</f>
        <v>0</v>
      </c>
      <c r="E16" s="22">
        <f>[1]Sheet1!AF17</f>
        <v>0</v>
      </c>
      <c r="F16" s="20">
        <f>[1]Sheet1!AJ17</f>
        <v>0</v>
      </c>
      <c r="G16" s="23">
        <f>[1]Sheet1!AN17</f>
        <v>0</v>
      </c>
    </row>
    <row r="17" spans="1:7" x14ac:dyDescent="0.2">
      <c r="A17" s="24">
        <f>[1]Sheet1!C21</f>
        <v>0</v>
      </c>
      <c r="B17" s="20">
        <f>[1]Sheet1!D18</f>
        <v>0</v>
      </c>
      <c r="C17" s="21">
        <f>[1]Sheet1!E18</f>
        <v>0</v>
      </c>
      <c r="D17" s="22">
        <f>[1]Sheet1!Y18</f>
        <v>0</v>
      </c>
      <c r="E17" s="22">
        <f>[1]Sheet1!AF18</f>
        <v>0</v>
      </c>
      <c r="F17" s="20">
        <f>[1]Sheet1!AJ18</f>
        <v>0</v>
      </c>
      <c r="G17" s="23">
        <f>[1]Sheet1!AN18</f>
        <v>0</v>
      </c>
    </row>
    <row r="18" spans="1:7" x14ac:dyDescent="0.2">
      <c r="A18" s="24">
        <f>[1]Sheet1!C22</f>
        <v>0</v>
      </c>
      <c r="B18" s="20">
        <f>[1]Sheet1!D19</f>
        <v>0</v>
      </c>
      <c r="C18" s="21">
        <f>[1]Sheet1!E19</f>
        <v>0</v>
      </c>
      <c r="D18" s="22">
        <f>[1]Sheet1!Y19</f>
        <v>0</v>
      </c>
      <c r="E18" s="22">
        <f>[1]Sheet1!AF19</f>
        <v>0</v>
      </c>
      <c r="F18" s="20">
        <f>[1]Sheet1!AJ19</f>
        <v>0</v>
      </c>
      <c r="G18" s="23">
        <f>[1]Sheet1!AN19</f>
        <v>0</v>
      </c>
    </row>
    <row r="19" spans="1:7" x14ac:dyDescent="0.2">
      <c r="A19" s="24">
        <f>[1]Sheet1!C23</f>
        <v>0</v>
      </c>
      <c r="B19" s="20">
        <f>[1]Sheet1!D20</f>
        <v>0</v>
      </c>
      <c r="C19" s="21">
        <f>[1]Sheet1!E20</f>
        <v>0</v>
      </c>
      <c r="D19" s="22">
        <f>[1]Sheet1!Y20</f>
        <v>0</v>
      </c>
      <c r="E19" s="22">
        <f>[1]Sheet1!AF20</f>
        <v>0</v>
      </c>
      <c r="F19" s="20">
        <f>[1]Sheet1!AJ20</f>
        <v>0</v>
      </c>
      <c r="G19" s="23">
        <f>[1]Sheet1!AN20</f>
        <v>0</v>
      </c>
    </row>
    <row r="20" spans="1:7" x14ac:dyDescent="0.2">
      <c r="A20" s="24">
        <f>[1]Sheet1!C24</f>
        <v>0</v>
      </c>
      <c r="B20" s="20">
        <f>[1]Sheet1!D21</f>
        <v>0</v>
      </c>
      <c r="C20" s="21">
        <f>[1]Sheet1!E21</f>
        <v>0</v>
      </c>
      <c r="D20" s="22">
        <f>[1]Sheet1!Y21</f>
        <v>0</v>
      </c>
      <c r="E20" s="22">
        <f>[1]Sheet1!AF21</f>
        <v>0</v>
      </c>
      <c r="F20" s="20">
        <f>[1]Sheet1!AJ21</f>
        <v>0</v>
      </c>
      <c r="G20" s="23">
        <f>[1]Sheet1!AN21</f>
        <v>0</v>
      </c>
    </row>
    <row r="21" spans="1:7" x14ac:dyDescent="0.2">
      <c r="A21" s="24">
        <f>[1]Sheet1!C25</f>
        <v>0</v>
      </c>
      <c r="B21" s="20">
        <f>[1]Sheet1!D22</f>
        <v>0</v>
      </c>
      <c r="C21" s="21">
        <f>[1]Sheet1!E22</f>
        <v>0</v>
      </c>
      <c r="D21" s="22">
        <f>[1]Sheet1!Y22</f>
        <v>0</v>
      </c>
      <c r="E21" s="22">
        <f>[1]Sheet1!AF22</f>
        <v>0</v>
      </c>
      <c r="F21" s="20">
        <f>[1]Sheet1!AJ22</f>
        <v>0</v>
      </c>
      <c r="G21" s="23">
        <f>[1]Sheet1!AN22</f>
        <v>0</v>
      </c>
    </row>
    <row r="22" spans="1:7" x14ac:dyDescent="0.2">
      <c r="A22" s="24">
        <f>[1]Sheet1!C26</f>
        <v>0</v>
      </c>
      <c r="B22" s="20">
        <f>[1]Sheet1!D23</f>
        <v>0</v>
      </c>
      <c r="C22" s="21">
        <f>[1]Sheet1!E23</f>
        <v>0</v>
      </c>
      <c r="D22" s="22">
        <f>[1]Sheet1!Y23</f>
        <v>0</v>
      </c>
      <c r="E22" s="22">
        <f>[1]Sheet1!AF23</f>
        <v>0</v>
      </c>
      <c r="F22" s="20">
        <f>[1]Sheet1!AJ23</f>
        <v>0</v>
      </c>
      <c r="G22" s="23">
        <f>[1]Sheet1!AN23</f>
        <v>0</v>
      </c>
    </row>
    <row r="23" spans="1:7" x14ac:dyDescent="0.2">
      <c r="A23" s="24">
        <f>[1]Sheet1!C27</f>
        <v>0</v>
      </c>
      <c r="B23" s="20">
        <f>[1]Sheet1!D24</f>
        <v>0</v>
      </c>
      <c r="C23" s="21">
        <f>[1]Sheet1!E24</f>
        <v>0</v>
      </c>
      <c r="D23" s="22">
        <f>[1]Sheet1!Y24</f>
        <v>0</v>
      </c>
      <c r="E23" s="22">
        <f>[1]Sheet1!AF24</f>
        <v>0</v>
      </c>
      <c r="F23" s="20">
        <f>[1]Sheet1!AJ24</f>
        <v>0</v>
      </c>
      <c r="G23" s="23">
        <f>[1]Sheet1!AN24</f>
        <v>0</v>
      </c>
    </row>
    <row r="24" spans="1:7" x14ac:dyDescent="0.2">
      <c r="A24" s="24">
        <f>[1]Sheet1!C28</f>
        <v>0</v>
      </c>
      <c r="B24" s="25">
        <f>[1]Sheet1!D28</f>
        <v>0</v>
      </c>
      <c r="C24" s="26">
        <f>[1]Sheet1!E28</f>
        <v>0</v>
      </c>
      <c r="D24" s="26">
        <f>[1]Sheet1!AB28</f>
        <v>0</v>
      </c>
      <c r="E24" s="26">
        <f>[1]Sheet1!AF28</f>
        <v>0</v>
      </c>
      <c r="F24" s="25">
        <f>[1]Sheet1!AJ28</f>
        <v>0</v>
      </c>
      <c r="G24" s="27">
        <f>[1]Sheet1!AN28</f>
        <v>0</v>
      </c>
    </row>
    <row r="25" spans="1:7" x14ac:dyDescent="0.2">
      <c r="A25" s="24">
        <f>[1]Sheet1!C29</f>
        <v>0</v>
      </c>
      <c r="B25" s="25">
        <f>[1]Sheet1!D29</f>
        <v>0</v>
      </c>
      <c r="C25" s="26">
        <f>[1]Sheet1!E29</f>
        <v>0</v>
      </c>
      <c r="D25" s="26">
        <f>[1]Sheet1!AB29</f>
        <v>0</v>
      </c>
      <c r="E25" s="26">
        <f>[1]Sheet1!AF29</f>
        <v>0</v>
      </c>
      <c r="F25" s="25">
        <f>[1]Sheet1!AJ29</f>
        <v>0</v>
      </c>
      <c r="G25" s="27">
        <f>[1]Sheet1!AN29</f>
        <v>0</v>
      </c>
    </row>
    <row r="26" spans="1:7" hidden="1" x14ac:dyDescent="0.2">
      <c r="A26" s="24">
        <f>[1]Sheet1!C30</f>
        <v>0</v>
      </c>
      <c r="B26" s="25">
        <f>[1]Sheet1!D30</f>
        <v>0</v>
      </c>
      <c r="C26" s="26">
        <f>[1]Sheet1!E30</f>
        <v>0</v>
      </c>
      <c r="D26" s="26">
        <f>[1]Sheet1!AB30</f>
        <v>0</v>
      </c>
      <c r="E26" s="26">
        <f>[1]Sheet1!AF30</f>
        <v>0</v>
      </c>
      <c r="F26" s="25">
        <f>[1]Sheet1!AJ30</f>
        <v>0</v>
      </c>
      <c r="G26" s="27">
        <f>[1]Sheet1!AN30</f>
        <v>0</v>
      </c>
    </row>
    <row r="27" spans="1:7" hidden="1" x14ac:dyDescent="0.2">
      <c r="A27" s="24">
        <f>[1]Sheet1!C31</f>
        <v>0</v>
      </c>
      <c r="B27" s="25">
        <f>[1]Sheet1!D31</f>
        <v>0</v>
      </c>
      <c r="C27" s="26">
        <f>[1]Sheet1!E31</f>
        <v>0</v>
      </c>
      <c r="D27" s="26">
        <f>[1]Sheet1!AB31</f>
        <v>0</v>
      </c>
      <c r="E27" s="26">
        <f>[1]Sheet1!AF31</f>
        <v>0</v>
      </c>
      <c r="F27" s="25">
        <f>[1]Sheet1!AJ31</f>
        <v>0</v>
      </c>
      <c r="G27" s="27">
        <f>[1]Sheet1!AN31</f>
        <v>0</v>
      </c>
    </row>
    <row r="28" spans="1:7" hidden="1" x14ac:dyDescent="0.2">
      <c r="A28" s="24">
        <f>[1]Sheet1!C32</f>
        <v>0</v>
      </c>
      <c r="B28" s="25">
        <f>[1]Sheet1!D32</f>
        <v>0</v>
      </c>
      <c r="C28" s="26">
        <f>[1]Sheet1!E32</f>
        <v>0</v>
      </c>
      <c r="D28" s="26">
        <f>[1]Sheet1!AB32</f>
        <v>0</v>
      </c>
      <c r="E28" s="26">
        <f>[1]Sheet1!AF32</f>
        <v>0</v>
      </c>
      <c r="F28" s="25">
        <f>[1]Sheet1!AJ32</f>
        <v>0</v>
      </c>
      <c r="G28" s="27">
        <f>[1]Sheet1!AN32</f>
        <v>0</v>
      </c>
    </row>
    <row r="29" spans="1:7" hidden="1" x14ac:dyDescent="0.2">
      <c r="A29" s="24">
        <f>[1]Sheet1!C33</f>
        <v>0</v>
      </c>
      <c r="B29" s="25">
        <f>[1]Sheet1!D33</f>
        <v>0</v>
      </c>
      <c r="C29" s="26">
        <f>[1]Sheet1!E33</f>
        <v>0</v>
      </c>
      <c r="D29" s="26">
        <f>[1]Sheet1!AB33</f>
        <v>0</v>
      </c>
      <c r="E29" s="26">
        <f>[1]Sheet1!AF33</f>
        <v>0</v>
      </c>
      <c r="F29" s="25">
        <f>[1]Sheet1!AJ33</f>
        <v>0</v>
      </c>
      <c r="G29" s="27">
        <f>[1]Sheet1!AN33</f>
        <v>0</v>
      </c>
    </row>
    <row r="30" spans="1:7" hidden="1" x14ac:dyDescent="0.2">
      <c r="A30" s="24">
        <f>[1]Sheet1!C34</f>
        <v>0</v>
      </c>
      <c r="B30" s="25">
        <f>[1]Sheet1!D34</f>
        <v>0</v>
      </c>
      <c r="C30" s="26">
        <f>[1]Sheet1!E34</f>
        <v>0</v>
      </c>
      <c r="D30" s="26">
        <f>[1]Sheet1!AB34</f>
        <v>0</v>
      </c>
      <c r="E30" s="26">
        <f>[1]Sheet1!AF34</f>
        <v>0</v>
      </c>
      <c r="F30" s="25">
        <f>[1]Sheet1!AJ34</f>
        <v>0</v>
      </c>
      <c r="G30" s="27">
        <f>[1]Sheet1!AN34</f>
        <v>0</v>
      </c>
    </row>
    <row r="31" spans="1:7" hidden="1" x14ac:dyDescent="0.2">
      <c r="A31" s="24">
        <f>[1]Sheet1!C35</f>
        <v>0</v>
      </c>
      <c r="B31" s="25">
        <f>[1]Sheet1!D35</f>
        <v>0</v>
      </c>
      <c r="C31" s="26">
        <f>[1]Sheet1!E35</f>
        <v>0</v>
      </c>
      <c r="D31" s="26">
        <f>[1]Sheet1!AB35</f>
        <v>0</v>
      </c>
      <c r="E31" s="26">
        <f>[1]Sheet1!AF35</f>
        <v>0</v>
      </c>
      <c r="F31" s="25">
        <f>[1]Sheet1!AJ35</f>
        <v>0</v>
      </c>
      <c r="G31" s="27">
        <f>[1]Sheet1!AN35</f>
        <v>0</v>
      </c>
    </row>
    <row r="32" spans="1:7" hidden="1" x14ac:dyDescent="0.2">
      <c r="A32" s="24">
        <f>[1]Sheet1!C36</f>
        <v>0</v>
      </c>
      <c r="B32" s="25">
        <f>[1]Sheet1!D36</f>
        <v>0</v>
      </c>
      <c r="C32" s="26">
        <f>[1]Sheet1!E36</f>
        <v>0</v>
      </c>
      <c r="D32" s="26">
        <f>[1]Sheet1!AB36</f>
        <v>0</v>
      </c>
      <c r="E32" s="26">
        <f>[1]Sheet1!AF36</f>
        <v>0</v>
      </c>
      <c r="F32" s="25">
        <f>[1]Sheet1!AJ36</f>
        <v>0</v>
      </c>
      <c r="G32" s="27">
        <f>[1]Sheet1!AN36</f>
        <v>0</v>
      </c>
    </row>
    <row r="33" spans="1:7" hidden="1" x14ac:dyDescent="0.2">
      <c r="A33" s="24">
        <f>[1]Sheet1!C37</f>
        <v>0</v>
      </c>
      <c r="B33" s="25">
        <f>[1]Sheet1!D37</f>
        <v>0</v>
      </c>
      <c r="C33" s="26">
        <f>[1]Sheet1!E37</f>
        <v>0</v>
      </c>
      <c r="D33" s="26">
        <f>[1]Sheet1!AB37</f>
        <v>0</v>
      </c>
      <c r="E33" s="26">
        <f>[1]Sheet1!AF37</f>
        <v>0</v>
      </c>
      <c r="F33" s="25">
        <f>[1]Sheet1!AJ37</f>
        <v>0</v>
      </c>
      <c r="G33" s="27">
        <f>[1]Sheet1!AN37</f>
        <v>0</v>
      </c>
    </row>
    <row r="34" spans="1:7" hidden="1" x14ac:dyDescent="0.2">
      <c r="A34" s="24">
        <f>[1]Sheet1!C38</f>
        <v>0</v>
      </c>
      <c r="B34" s="25">
        <f>[1]Sheet1!D38</f>
        <v>0</v>
      </c>
      <c r="C34" s="26">
        <f>[1]Sheet1!E38</f>
        <v>0</v>
      </c>
      <c r="D34" s="26">
        <f>[1]Sheet1!AB38</f>
        <v>0</v>
      </c>
      <c r="E34" s="26">
        <f>[1]Sheet1!AF38</f>
        <v>0</v>
      </c>
      <c r="F34" s="25">
        <f>[1]Sheet1!AJ38</f>
        <v>0</v>
      </c>
      <c r="G34" s="27">
        <f>[1]Sheet1!AN38</f>
        <v>0</v>
      </c>
    </row>
    <row r="35" spans="1:7" hidden="1" x14ac:dyDescent="0.2">
      <c r="A35" s="24">
        <f>[1]Sheet1!C39</f>
        <v>0</v>
      </c>
      <c r="B35" s="25">
        <f>[1]Sheet1!D39</f>
        <v>0</v>
      </c>
      <c r="C35" s="26">
        <f>[1]Sheet1!E39</f>
        <v>0</v>
      </c>
      <c r="D35" s="26">
        <f>[1]Sheet1!AB39</f>
        <v>0</v>
      </c>
      <c r="E35" s="26">
        <f>[1]Sheet1!AF39</f>
        <v>0</v>
      </c>
      <c r="F35" s="25">
        <f>[1]Sheet1!AJ39</f>
        <v>0</v>
      </c>
      <c r="G35" s="27">
        <f>[1]Sheet1!AN39</f>
        <v>0</v>
      </c>
    </row>
    <row r="36" spans="1:7" hidden="1" x14ac:dyDescent="0.2">
      <c r="A36" s="24">
        <f>[1]Sheet1!C40</f>
        <v>0</v>
      </c>
      <c r="B36" s="25">
        <f>[1]Sheet1!D40</f>
        <v>0</v>
      </c>
      <c r="C36" s="26">
        <f>[1]Sheet1!E40</f>
        <v>0</v>
      </c>
      <c r="D36" s="26">
        <f>[1]Sheet1!AB40</f>
        <v>0</v>
      </c>
      <c r="E36" s="26">
        <f>[1]Sheet1!AF40</f>
        <v>0</v>
      </c>
      <c r="F36" s="25">
        <f>[1]Sheet1!AJ40</f>
        <v>0</v>
      </c>
      <c r="G36" s="27">
        <f>[1]Sheet1!AN40</f>
        <v>0</v>
      </c>
    </row>
    <row r="37" spans="1:7" hidden="1" x14ac:dyDescent="0.2">
      <c r="A37" s="24">
        <f>[1]Sheet1!C41</f>
        <v>0</v>
      </c>
      <c r="B37" s="25">
        <f>[1]Sheet1!D41</f>
        <v>0</v>
      </c>
      <c r="C37" s="26">
        <f>[1]Sheet1!E41</f>
        <v>0</v>
      </c>
      <c r="D37" s="26">
        <f>[1]Sheet1!AB41</f>
        <v>0</v>
      </c>
      <c r="E37" s="26">
        <f>[1]Sheet1!AF41</f>
        <v>0</v>
      </c>
      <c r="F37" s="25">
        <f>[1]Sheet1!AJ41</f>
        <v>0</v>
      </c>
      <c r="G37" s="27">
        <f>[1]Sheet1!AN41</f>
        <v>0</v>
      </c>
    </row>
    <row r="38" spans="1:7" hidden="1" x14ac:dyDescent="0.2">
      <c r="A38" s="24">
        <f>[1]Sheet1!C42</f>
        <v>0</v>
      </c>
      <c r="B38" s="25">
        <f>[1]Sheet1!D42</f>
        <v>0</v>
      </c>
      <c r="C38" s="26">
        <f>[1]Sheet1!E42</f>
        <v>0</v>
      </c>
      <c r="D38" s="26">
        <f>[1]Sheet1!AB42</f>
        <v>0</v>
      </c>
      <c r="E38" s="26">
        <f>[1]Sheet1!AF42</f>
        <v>0</v>
      </c>
      <c r="F38" s="25">
        <f>[1]Sheet1!AJ42</f>
        <v>0</v>
      </c>
      <c r="G38" s="27">
        <f>[1]Sheet1!AN42</f>
        <v>0</v>
      </c>
    </row>
    <row r="39" spans="1:7" hidden="1" x14ac:dyDescent="0.2">
      <c r="A39" s="24">
        <f>[1]Sheet1!C43</f>
        <v>0</v>
      </c>
      <c r="B39" s="25">
        <f>[1]Sheet1!D43</f>
        <v>0</v>
      </c>
      <c r="C39" s="26">
        <f>[1]Sheet1!E43</f>
        <v>0</v>
      </c>
      <c r="D39" s="26">
        <f>[1]Sheet1!AB43</f>
        <v>0</v>
      </c>
      <c r="E39" s="26">
        <f>[1]Sheet1!AF43</f>
        <v>0</v>
      </c>
      <c r="F39" s="25">
        <f>[1]Sheet1!AJ43</f>
        <v>0</v>
      </c>
      <c r="G39" s="27">
        <f>[1]Sheet1!AN43</f>
        <v>0</v>
      </c>
    </row>
    <row r="40" spans="1:7" hidden="1" x14ac:dyDescent="0.2">
      <c r="A40" s="24">
        <f>[1]Sheet1!C44</f>
        <v>0</v>
      </c>
      <c r="B40" s="25">
        <f>[1]Sheet1!D44</f>
        <v>0</v>
      </c>
      <c r="C40" s="26">
        <f>[1]Sheet1!E44</f>
        <v>0</v>
      </c>
      <c r="D40" s="26">
        <f>[1]Sheet1!AB44</f>
        <v>0</v>
      </c>
      <c r="E40" s="26">
        <f>[1]Sheet1!AF44</f>
        <v>0</v>
      </c>
      <c r="F40" s="25">
        <f>[1]Sheet1!AJ44</f>
        <v>0</v>
      </c>
      <c r="G40" s="27">
        <f>[1]Sheet1!AN44</f>
        <v>0</v>
      </c>
    </row>
    <row r="41" spans="1:7" hidden="1" x14ac:dyDescent="0.2">
      <c r="A41" s="24">
        <f>[1]Sheet1!C45</f>
        <v>0</v>
      </c>
      <c r="B41" s="25">
        <f>[1]Sheet1!D45</f>
        <v>0</v>
      </c>
      <c r="C41" s="26">
        <f>[1]Sheet1!E45</f>
        <v>0</v>
      </c>
      <c r="D41" s="26">
        <f>[1]Sheet1!AB45</f>
        <v>0</v>
      </c>
      <c r="E41" s="26">
        <f>[1]Sheet1!AF45</f>
        <v>0</v>
      </c>
      <c r="F41" s="25">
        <f>[1]Sheet1!AJ45</f>
        <v>0</v>
      </c>
      <c r="G41" s="27">
        <f>[1]Sheet1!AN45</f>
        <v>0</v>
      </c>
    </row>
    <row r="42" spans="1:7" hidden="1" x14ac:dyDescent="0.2">
      <c r="A42" s="24">
        <f>[1]Sheet1!C46</f>
        <v>0</v>
      </c>
      <c r="B42" s="25">
        <f>[1]Sheet1!D46</f>
        <v>0</v>
      </c>
      <c r="C42" s="26">
        <f>[1]Sheet1!E46</f>
        <v>0</v>
      </c>
      <c r="D42" s="26">
        <f>[1]Sheet1!AB46</f>
        <v>0</v>
      </c>
      <c r="E42" s="26">
        <f>[1]Sheet1!AF46</f>
        <v>0</v>
      </c>
      <c r="F42" s="25">
        <f>[1]Sheet1!AJ46</f>
        <v>0</v>
      </c>
      <c r="G42" s="27">
        <f>[1]Sheet1!AN46</f>
        <v>0</v>
      </c>
    </row>
    <row r="43" spans="1:7" hidden="1" x14ac:dyDescent="0.2">
      <c r="A43" s="24">
        <f>[1]Sheet1!C47</f>
        <v>0</v>
      </c>
      <c r="B43" s="25">
        <f>[1]Sheet1!D47</f>
        <v>0</v>
      </c>
      <c r="C43" s="26">
        <f>[1]Sheet1!E47</f>
        <v>0</v>
      </c>
      <c r="D43" s="26">
        <f>[1]Sheet1!AB47</f>
        <v>0</v>
      </c>
      <c r="E43" s="26">
        <f>[1]Sheet1!AF47</f>
        <v>0</v>
      </c>
      <c r="F43" s="25">
        <f>[1]Sheet1!AJ47</f>
        <v>0</v>
      </c>
      <c r="G43" s="27">
        <f>[1]Sheet1!AN47</f>
        <v>0</v>
      </c>
    </row>
    <row r="44" spans="1:7" hidden="1" x14ac:dyDescent="0.2">
      <c r="A44" s="24">
        <f>[1]Sheet1!C48</f>
        <v>0</v>
      </c>
      <c r="B44" s="25">
        <f>[1]Sheet1!D48</f>
        <v>0</v>
      </c>
      <c r="C44" s="26">
        <f>[1]Sheet1!E48</f>
        <v>0</v>
      </c>
      <c r="D44" s="26">
        <f>[1]Sheet1!AB48</f>
        <v>0</v>
      </c>
      <c r="E44" s="26">
        <f>[1]Sheet1!AF48</f>
        <v>0</v>
      </c>
      <c r="F44" s="25">
        <f>[1]Sheet1!AJ48</f>
        <v>0</v>
      </c>
      <c r="G44" s="27">
        <f>[1]Sheet1!AN48</f>
        <v>0</v>
      </c>
    </row>
    <row r="45" spans="1:7" hidden="1" x14ac:dyDescent="0.2">
      <c r="A45" s="24">
        <f>[1]Sheet1!C49</f>
        <v>0</v>
      </c>
      <c r="B45" s="25">
        <f>[1]Sheet1!D49</f>
        <v>0</v>
      </c>
      <c r="C45" s="26">
        <f>[1]Sheet1!E49</f>
        <v>0</v>
      </c>
      <c r="D45" s="26">
        <f>[1]Sheet1!AB49</f>
        <v>0</v>
      </c>
      <c r="E45" s="26">
        <f>[1]Sheet1!AF49</f>
        <v>0</v>
      </c>
      <c r="F45" s="25">
        <f>[1]Sheet1!AJ49</f>
        <v>0</v>
      </c>
      <c r="G45" s="27">
        <f>[1]Sheet1!AN49</f>
        <v>0</v>
      </c>
    </row>
    <row r="46" spans="1:7" hidden="1" x14ac:dyDescent="0.2">
      <c r="A46" s="24">
        <f>[1]Sheet1!C50</f>
        <v>0</v>
      </c>
      <c r="B46" s="25">
        <f>[1]Sheet1!D50</f>
        <v>0</v>
      </c>
      <c r="C46" s="26">
        <f>[1]Sheet1!E50</f>
        <v>0</v>
      </c>
      <c r="D46" s="26">
        <f>[1]Sheet1!AB50</f>
        <v>0</v>
      </c>
      <c r="E46" s="26">
        <f>[1]Sheet1!AF50</f>
        <v>0</v>
      </c>
      <c r="F46" s="25">
        <f>[1]Sheet1!AJ50</f>
        <v>0</v>
      </c>
      <c r="G46" s="27">
        <f>[1]Sheet1!AN50</f>
        <v>0</v>
      </c>
    </row>
    <row r="47" spans="1:7" hidden="1" x14ac:dyDescent="0.2">
      <c r="A47" s="24">
        <f>[1]Sheet1!C51</f>
        <v>0</v>
      </c>
      <c r="B47" s="25">
        <f>[1]Sheet1!D51</f>
        <v>0</v>
      </c>
      <c r="C47" s="26">
        <f>[1]Sheet1!E51</f>
        <v>0</v>
      </c>
      <c r="D47" s="26">
        <f>[1]Sheet1!AB51</f>
        <v>0</v>
      </c>
      <c r="E47" s="26">
        <f>[1]Sheet1!AF51</f>
        <v>0</v>
      </c>
      <c r="F47" s="25">
        <f>[1]Sheet1!AJ51</f>
        <v>0</v>
      </c>
      <c r="G47" s="27">
        <f>[1]Sheet1!AN51</f>
        <v>0</v>
      </c>
    </row>
    <row r="48" spans="1:7" hidden="1" x14ac:dyDescent="0.2">
      <c r="A48" s="24">
        <f>[1]Sheet1!C52</f>
        <v>0</v>
      </c>
      <c r="B48" s="25">
        <f>[1]Sheet1!D52</f>
        <v>0</v>
      </c>
      <c r="C48" s="26">
        <f>[1]Sheet1!E52</f>
        <v>0</v>
      </c>
      <c r="D48" s="26">
        <f>[1]Sheet1!AB52</f>
        <v>0</v>
      </c>
      <c r="E48" s="26">
        <f>[1]Sheet1!AF52</f>
        <v>0</v>
      </c>
      <c r="F48" s="25">
        <f>[1]Sheet1!AJ52</f>
        <v>0</v>
      </c>
      <c r="G48" s="27">
        <f>[1]Sheet1!AN52</f>
        <v>0</v>
      </c>
    </row>
    <row r="49" spans="1:7" hidden="1" x14ac:dyDescent="0.2">
      <c r="A49" s="24">
        <f>[1]Sheet1!C53</f>
        <v>0</v>
      </c>
      <c r="B49" s="25">
        <f>[1]Sheet1!D53</f>
        <v>0</v>
      </c>
      <c r="C49" s="26">
        <f>[1]Sheet1!E53</f>
        <v>0</v>
      </c>
      <c r="D49" s="26">
        <f>[1]Sheet1!AB53</f>
        <v>0</v>
      </c>
      <c r="E49" s="26">
        <f>[1]Sheet1!AF53</f>
        <v>0</v>
      </c>
      <c r="F49" s="25">
        <f>[1]Sheet1!AJ53</f>
        <v>0</v>
      </c>
      <c r="G49" s="27">
        <f>[1]Sheet1!AN53</f>
        <v>0</v>
      </c>
    </row>
    <row r="50" spans="1:7" hidden="1" x14ac:dyDescent="0.2">
      <c r="A50" s="24">
        <f>[1]Sheet1!C54</f>
        <v>0</v>
      </c>
      <c r="B50" s="25">
        <f>[1]Sheet1!D54</f>
        <v>0</v>
      </c>
      <c r="C50" s="26">
        <f>[1]Sheet1!E54</f>
        <v>0</v>
      </c>
      <c r="D50" s="26">
        <f>[1]Sheet1!AB54</f>
        <v>0</v>
      </c>
      <c r="E50" s="26">
        <f>[1]Sheet1!AF54</f>
        <v>0</v>
      </c>
      <c r="F50" s="25">
        <f>[1]Sheet1!AJ54</f>
        <v>0</v>
      </c>
      <c r="G50" s="27">
        <f>[1]Sheet1!AN54</f>
        <v>0</v>
      </c>
    </row>
    <row r="51" spans="1:7" hidden="1" x14ac:dyDescent="0.2">
      <c r="A51" s="24">
        <f>[1]Sheet1!C55</f>
        <v>0</v>
      </c>
      <c r="B51" s="25">
        <f>[1]Sheet1!D55</f>
        <v>0</v>
      </c>
      <c r="C51" s="26">
        <f>[1]Sheet1!E55</f>
        <v>0</v>
      </c>
      <c r="D51" s="26">
        <f>[1]Sheet1!AB55</f>
        <v>0</v>
      </c>
      <c r="E51" s="26">
        <f>[1]Sheet1!AF55</f>
        <v>0</v>
      </c>
      <c r="F51" s="25">
        <f>[1]Sheet1!AJ55</f>
        <v>0</v>
      </c>
      <c r="G51" s="27">
        <f>[1]Sheet1!AN55</f>
        <v>0</v>
      </c>
    </row>
    <row r="52" spans="1:7" hidden="1" x14ac:dyDescent="0.2">
      <c r="A52" s="24">
        <f>[1]Sheet1!C56</f>
        <v>0</v>
      </c>
      <c r="B52" s="25">
        <f>[1]Sheet1!D56</f>
        <v>0</v>
      </c>
      <c r="C52" s="26">
        <f>[1]Sheet1!E56</f>
        <v>0</v>
      </c>
      <c r="D52" s="26">
        <f>[1]Sheet1!AB56</f>
        <v>0</v>
      </c>
      <c r="E52" s="26">
        <f>[1]Sheet1!AF56</f>
        <v>0</v>
      </c>
      <c r="F52" s="25">
        <f>[1]Sheet1!AJ56</f>
        <v>0</v>
      </c>
      <c r="G52" s="27">
        <f>[1]Sheet1!AN56</f>
        <v>0</v>
      </c>
    </row>
    <row r="53" spans="1:7" x14ac:dyDescent="0.2">
      <c r="A53" s="24">
        <f>[1]Sheet1!C57</f>
        <v>0</v>
      </c>
      <c r="B53" s="25">
        <f>[1]Sheet1!D57</f>
        <v>0</v>
      </c>
      <c r="C53" s="26">
        <f>[1]Sheet1!E57</f>
        <v>0</v>
      </c>
      <c r="D53" s="26">
        <f>[1]Sheet1!AB57</f>
        <v>0</v>
      </c>
      <c r="E53" s="26">
        <f>[1]Sheet1!AF57</f>
        <v>0</v>
      </c>
      <c r="F53" s="25">
        <f>[1]Sheet1!AJ57</f>
        <v>0</v>
      </c>
      <c r="G53" s="27">
        <f>[1]Sheet1!AN57</f>
        <v>0</v>
      </c>
    </row>
    <row r="54" spans="1:7" x14ac:dyDescent="0.2">
      <c r="A54" s="24">
        <f>[1]Sheet1!C58</f>
        <v>0</v>
      </c>
      <c r="B54" s="25">
        <f>[1]Sheet1!D58</f>
        <v>0</v>
      </c>
      <c r="C54" s="26">
        <f>[1]Sheet1!E58</f>
        <v>0</v>
      </c>
      <c r="D54" s="26">
        <f>[1]Sheet1!AB58</f>
        <v>0</v>
      </c>
      <c r="E54" s="26">
        <f>[1]Sheet1!AF58</f>
        <v>0</v>
      </c>
      <c r="F54" s="25">
        <f>[1]Sheet1!AJ58</f>
        <v>0</v>
      </c>
      <c r="G54" s="27">
        <f>[1]Sheet1!AN58</f>
        <v>0</v>
      </c>
    </row>
    <row r="55" spans="1:7" x14ac:dyDescent="0.2">
      <c r="A55" s="24">
        <f>[1]Sheet1!C59</f>
        <v>0</v>
      </c>
      <c r="B55" s="25">
        <f>[1]Sheet1!D59</f>
        <v>0</v>
      </c>
      <c r="C55" s="26">
        <f>[1]Sheet1!E59</f>
        <v>0</v>
      </c>
      <c r="D55" s="26">
        <f>[1]Sheet1!AB59</f>
        <v>0</v>
      </c>
      <c r="E55" s="26">
        <f>[1]Sheet1!AF59</f>
        <v>0</v>
      </c>
      <c r="F55" s="25">
        <f>[1]Sheet1!AJ59</f>
        <v>0</v>
      </c>
      <c r="G55" s="27">
        <f>[1]Sheet1!AN59</f>
        <v>0</v>
      </c>
    </row>
    <row r="56" spans="1:7" x14ac:dyDescent="0.2">
      <c r="A56" s="24">
        <f>[1]Sheet1!C60</f>
        <v>0</v>
      </c>
      <c r="B56" s="25">
        <f>[1]Sheet1!D60</f>
        <v>0</v>
      </c>
      <c r="C56" s="26">
        <f>[1]Sheet1!E60</f>
        <v>0</v>
      </c>
      <c r="D56" s="26">
        <f>[1]Sheet1!AB60</f>
        <v>0</v>
      </c>
      <c r="E56" s="26">
        <f>[1]Sheet1!AF60</f>
        <v>0</v>
      </c>
      <c r="F56" s="25">
        <f>[1]Sheet1!AJ60</f>
        <v>0</v>
      </c>
      <c r="G56" s="27">
        <f>[1]Sheet1!AN60</f>
        <v>0</v>
      </c>
    </row>
    <row r="57" spans="1:7" x14ac:dyDescent="0.2">
      <c r="A57" s="24">
        <f>[1]Sheet1!C61</f>
        <v>0</v>
      </c>
      <c r="B57" s="25">
        <f>[1]Sheet1!D61</f>
        <v>0</v>
      </c>
      <c r="C57" s="26">
        <f>[1]Sheet1!E61</f>
        <v>0</v>
      </c>
      <c r="D57" s="26">
        <f>[1]Sheet1!AB61</f>
        <v>0</v>
      </c>
      <c r="E57" s="26">
        <f>[1]Sheet1!AF61</f>
        <v>0</v>
      </c>
      <c r="F57" s="25">
        <f>[1]Sheet1!AJ61</f>
        <v>0</v>
      </c>
      <c r="G57" s="27">
        <f>[1]Sheet1!AN61</f>
        <v>0</v>
      </c>
    </row>
    <row r="58" spans="1:7" x14ac:dyDescent="0.2">
      <c r="A58" s="24">
        <f>[1]Sheet1!C62</f>
        <v>0</v>
      </c>
      <c r="B58" s="25">
        <f>[1]Sheet1!D62</f>
        <v>0</v>
      </c>
      <c r="C58" s="26">
        <f>[1]Sheet1!E62</f>
        <v>0</v>
      </c>
      <c r="D58" s="26">
        <f>[1]Sheet1!AB62</f>
        <v>0</v>
      </c>
      <c r="E58" s="26">
        <f>[1]Sheet1!AF62</f>
        <v>0</v>
      </c>
      <c r="F58" s="25">
        <f>[1]Sheet1!AJ62</f>
        <v>0</v>
      </c>
      <c r="G58" s="27">
        <f>[1]Sheet1!AN62</f>
        <v>0</v>
      </c>
    </row>
    <row r="59" spans="1:7" ht="12" thickBot="1" x14ac:dyDescent="0.25">
      <c r="A59" s="28">
        <f>[1]Sheet1!C63</f>
        <v>0</v>
      </c>
      <c r="B59" s="29">
        <f>[1]Sheet1!D63</f>
        <v>0</v>
      </c>
      <c r="C59" s="30">
        <f>[1]Sheet1!E63</f>
        <v>0</v>
      </c>
      <c r="D59" s="30">
        <f>[1]Sheet1!AB63</f>
        <v>0</v>
      </c>
      <c r="E59" s="30">
        <f>[1]Sheet1!AF63</f>
        <v>0</v>
      </c>
      <c r="F59" s="29">
        <f>[1]Sheet1!AJ63</f>
        <v>0</v>
      </c>
      <c r="G59" s="31">
        <f>[1]Sheet1!AN63</f>
        <v>0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2D16DBD4-8EEA-47B0-B8A4-D8785423ED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629C6A-6D06-44B1-BEEC-4FF74FF8E38C}"/>
</file>

<file path=customXml/itemProps3.xml><?xml version="1.0" encoding="utf-8"?>
<ds:datastoreItem xmlns:ds="http://schemas.openxmlformats.org/officeDocument/2006/customXml" ds:itemID="{8A90CAD3-1189-49A4-9403-09F4B6B86A35}"/>
</file>

<file path=customXml/itemProps4.xml><?xml version="1.0" encoding="utf-8"?>
<ds:datastoreItem xmlns:ds="http://schemas.openxmlformats.org/officeDocument/2006/customXml" ds:itemID="{9C5B2A3F-0169-4C94-9FE1-94173DA86AD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LS COST</vt:lpstr>
      <vt:lpstr>IRRG COST</vt:lpstr>
      <vt:lpstr>Sheet1</vt:lpstr>
      <vt:lpstr>IrrigationSchedule</vt:lpstr>
      <vt:lpstr>'IRRG COST'!Print_Area</vt:lpstr>
      <vt:lpstr>'LS COST'!Print_Area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Jesus Jimenez</cp:lastModifiedBy>
  <cp:lastPrinted>2024-04-18T19:40:46Z</cp:lastPrinted>
  <dcterms:created xsi:type="dcterms:W3CDTF">2019-12-17T15:58:45Z</dcterms:created>
  <dcterms:modified xsi:type="dcterms:W3CDTF">2025-01-07T20:44:02Z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