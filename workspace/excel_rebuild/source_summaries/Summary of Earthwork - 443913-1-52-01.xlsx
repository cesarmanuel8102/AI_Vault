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52" documentId="6_{1EFA6BCD-27E4-4659-B778-205386823CC4}" xr6:coauthVersionLast="47" xr6:coauthVersionMax="47" xr10:uidLastSave="{A94DBF1A-6444-4EA8-950A-B7766BCF0F6F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AU4" i="1"/>
  <c r="AR4" i="1"/>
  <c r="AS12" i="1"/>
  <c r="AS11" i="1"/>
  <c r="AS10" i="1"/>
  <c r="AS9" i="1"/>
  <c r="AS4" i="1" l="1"/>
</calcChain>
</file>

<file path=xl/sharedStrings.xml><?xml version="1.0" encoding="utf-8"?>
<sst xmlns="http://schemas.openxmlformats.org/spreadsheetml/2006/main" count="79" uniqueCount="59">
  <si>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</si>
  <si>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</si>
  <si>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</si>
  <si>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</si>
  <si>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</si>
  <si>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</si>
  <si>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</si>
  <si>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</si>
  <si>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</si>
  <si>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</si>
  <si>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</si>
  <si>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</si>
  <si>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</si>
  <si>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</si>
  <si>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</si>
  <si>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</si>
  <si>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</si>
  <si>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</si>
  <si>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</si>
  <si>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</si>
  <si>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</si>
  <si>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</si>
  <si>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</si>
  <si>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</si>
  <si>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</si>
  <si>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</si>
  <si>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</si>
  <si>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</si>
  <si>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</si>
  <si>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</si>
  <si>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</si>
  <si>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</si>
  <si>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</si>
  <si>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</si>
  <si>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</si>
  <si>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</si>
  <si>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</si>
  <si>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</si>
  <si>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</si>
  <si>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</si>
  <si>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</si>
  <si>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0120 71   </t>
  </si>
  <si>
    <t/>
  </si>
  <si>
    <t>Regular Excavation (3-R Projects Only)</t>
  </si>
  <si>
    <t>LS</t>
  </si>
  <si>
    <t>1</t>
  </si>
  <si>
    <t>CL-SR886</t>
  </si>
  <si>
    <t>32+72.40</t>
  </si>
  <si>
    <t>33+07.47</t>
  </si>
  <si>
    <t>160.384483952221</t>
  </si>
  <si>
    <t>RT</t>
  </si>
  <si>
    <t>57685</t>
  </si>
  <si>
    <t>SY</t>
  </si>
  <si>
    <t>SF</t>
  </si>
  <si>
    <t>All pavement thickness (ft)</t>
  </si>
  <si>
    <t>CF</t>
  </si>
  <si>
    <t>CY</t>
  </si>
  <si>
    <t>VOLUME: 44.8 CY</t>
  </si>
  <si>
    <t>Summary of Earthwork - 443913-1-52-01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</si>
</sst>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+00.0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60"/>
  <sheetViews>
    <sheetView tabSelected="1" showRuler="0" topLeftCell="B2" zoomScale="115" zoomScaleNormal="115" zoomScaleSheetLayoutView="90" zoomScalePageLayoutView="80" workbookViewId="0">
      <selection activeCell="AS21" sqref="AS21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7" ht="15" customHeight="1" x14ac:dyDescent="0.25">
      <c r="A1" s="15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</row>
    <row r="2" spans="1:47" s="7" customFormat="1" ht="11.25" customHeight="1" x14ac:dyDescent="0.25">
      <c r="A2" s="18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/>
      <c r="X2" s="14"/>
      <c r="Y2" s="14" t="s">
        <v>22</v>
      </c>
      <c r="Z2" s="14"/>
      <c r="AA2" s="14" t="s">
        <v>23</v>
      </c>
      <c r="AB2" s="14"/>
      <c r="AC2" s="14"/>
      <c r="AD2" s="14" t="s">
        <v>24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25</v>
      </c>
      <c r="AO2" s="19" t="s">
        <v>26</v>
      </c>
    </row>
    <row r="3" spans="1:47" s="7" customFormat="1" ht="33.75" x14ac:dyDescent="0.25">
      <c r="A3" s="18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27</v>
      </c>
      <c r="W3" s="8" t="s">
        <v>28</v>
      </c>
      <c r="X3" s="8" t="s">
        <v>29</v>
      </c>
      <c r="Y3" s="8" t="s">
        <v>28</v>
      </c>
      <c r="Z3" s="8" t="s">
        <v>29</v>
      </c>
      <c r="AA3" s="8" t="s">
        <v>30</v>
      </c>
      <c r="AB3" s="8" t="s">
        <v>28</v>
      </c>
      <c r="AC3" s="8" t="s">
        <v>29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36</v>
      </c>
      <c r="AJ3" s="8" t="s">
        <v>37</v>
      </c>
      <c r="AK3" s="8" t="s">
        <v>38</v>
      </c>
      <c r="AL3" s="8" t="s">
        <v>39</v>
      </c>
      <c r="AM3" s="8" t="s">
        <v>40</v>
      </c>
      <c r="AN3" s="14"/>
      <c r="AO3" s="19"/>
    </row>
    <row r="4" spans="1:47" x14ac:dyDescent="0.25">
      <c r="B4" s="2" t="s">
        <v>41</v>
      </c>
      <c r="C4" s="2" t="s">
        <v>42</v>
      </c>
      <c r="D4" s="4" t="s">
        <v>43</v>
      </c>
      <c r="E4" s="4"/>
      <c r="F4" s="4"/>
      <c r="G4" s="4"/>
      <c r="H4" s="2" t="s">
        <v>44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W4" s="2" t="s">
        <v>45</v>
      </c>
      <c r="Y4" s="2" t="s">
        <v>45</v>
      </c>
      <c r="AA4" s="2" t="s">
        <v>42</v>
      </c>
      <c r="AB4" s="2" t="s">
        <v>42</v>
      </c>
      <c r="AD4" s="2" t="s">
        <v>42</v>
      </c>
      <c r="AG4" s="2" t="s">
        <v>46</v>
      </c>
      <c r="AH4" s="6" t="s">
        <v>47</v>
      </c>
      <c r="AI4" s="6" t="s">
        <v>48</v>
      </c>
      <c r="AJ4" s="2" t="s">
        <v>42</v>
      </c>
      <c r="AK4" s="2" t="s">
        <v>49</v>
      </c>
      <c r="AL4" s="2" t="s">
        <v>50</v>
      </c>
      <c r="AM4" s="2" t="s">
        <v>51</v>
      </c>
      <c r="AN4" s="4" t="s">
        <v>57</v>
      </c>
      <c r="AO4" s="5" t="s">
        <v>42</v>
      </c>
      <c r="AQ4" s="1">
        <v>58.7</v>
      </c>
      <c r="AR4" s="11">
        <f>CONVERT(AQ4,"yd^2","ft^2")</f>
        <v>528.30000000000007</v>
      </c>
      <c r="AS4" s="11">
        <f>AS9+AS10+AS11+AS12</f>
        <v>2.2916666666666665</v>
      </c>
      <c r="AT4" s="11">
        <f>AR4*AS4</f>
        <v>1210.6875</v>
      </c>
      <c r="AU4" s="12">
        <f>CONVERT(AT4,"ft^3","yd^3")</f>
        <v>44.840277777777779</v>
      </c>
    </row>
    <row r="5" spans="1:47" ht="11.25" customHeight="1" x14ac:dyDescent="0.25">
      <c r="D5" s="4"/>
      <c r="E5" s="4"/>
      <c r="F5" s="4"/>
      <c r="G5" s="4"/>
      <c r="AH5" s="6"/>
      <c r="AI5" s="6"/>
      <c r="AN5" s="4"/>
      <c r="AO5" s="5"/>
      <c r="AQ5" s="1" t="s">
        <v>52</v>
      </c>
      <c r="AR5" s="1" t="s">
        <v>53</v>
      </c>
      <c r="AS5" s="13" t="s">
        <v>54</v>
      </c>
      <c r="AT5" s="1" t="s">
        <v>55</v>
      </c>
      <c r="AU5" s="1" t="s">
        <v>56</v>
      </c>
    </row>
    <row r="6" spans="1:47" x14ac:dyDescent="0.25">
      <c r="D6" s="4"/>
      <c r="E6" s="4"/>
      <c r="F6" s="4"/>
      <c r="G6" s="4"/>
      <c r="AH6" s="6"/>
      <c r="AI6" s="6"/>
      <c r="AN6" s="4"/>
      <c r="AO6" s="5"/>
      <c r="AS6" s="13"/>
    </row>
    <row r="7" spans="1:47" x14ac:dyDescent="0.25">
      <c r="D7" s="4"/>
      <c r="E7" s="4"/>
      <c r="F7" s="4"/>
      <c r="G7" s="4"/>
      <c r="AH7" s="6"/>
      <c r="AI7" s="6"/>
      <c r="AN7" s="4"/>
      <c r="AO7" s="5"/>
      <c r="AS7" s="13"/>
    </row>
    <row r="8" spans="1:47" x14ac:dyDescent="0.25">
      <c r="D8" s="4"/>
      <c r="E8" s="4"/>
      <c r="F8" s="4"/>
      <c r="G8" s="4"/>
      <c r="AH8" s="6"/>
      <c r="AI8" s="6"/>
      <c r="AN8" s="4"/>
      <c r="AO8" s="5"/>
      <c r="AS8" s="13"/>
    </row>
    <row r="9" spans="1:47" x14ac:dyDescent="0.25">
      <c r="D9" s="4"/>
      <c r="E9" s="4"/>
      <c r="F9" s="4"/>
      <c r="G9" s="4"/>
      <c r="AH9" s="6"/>
      <c r="AI9" s="6"/>
      <c r="AN9" s="4"/>
      <c r="AO9" s="5"/>
      <c r="AS9" s="1">
        <f>1.5/12</f>
        <v>0.125</v>
      </c>
    </row>
    <row r="10" spans="1:47" x14ac:dyDescent="0.25">
      <c r="D10" s="4"/>
      <c r="E10" s="4"/>
      <c r="F10" s="4"/>
      <c r="G10" s="4"/>
      <c r="AH10" s="6"/>
      <c r="AI10" s="6"/>
      <c r="AN10" s="4"/>
      <c r="AO10" s="5"/>
      <c r="AS10" s="10">
        <f>2/12</f>
        <v>0.16666666666666666</v>
      </c>
    </row>
    <row r="11" spans="1:47" x14ac:dyDescent="0.25">
      <c r="D11" s="4"/>
      <c r="E11" s="4"/>
      <c r="F11" s="4"/>
      <c r="G11" s="4"/>
      <c r="AH11" s="6"/>
      <c r="AI11" s="6"/>
      <c r="AN11" s="4"/>
      <c r="AO11" s="5"/>
      <c r="AS11" s="1">
        <f>12/12</f>
        <v>1</v>
      </c>
    </row>
    <row r="12" spans="1:47" x14ac:dyDescent="0.25">
      <c r="D12" s="4"/>
      <c r="E12" s="4"/>
      <c r="F12" s="4"/>
      <c r="G12" s="4"/>
      <c r="AH12" s="6"/>
      <c r="AI12" s="6"/>
      <c r="AN12" s="4"/>
      <c r="AO12" s="5"/>
      <c r="AS12" s="1">
        <f>12/12</f>
        <v>1</v>
      </c>
    </row>
    <row r="13" spans="1:47" x14ac:dyDescent="0.25">
      <c r="D13" s="4"/>
      <c r="E13" s="4"/>
      <c r="F13" s="4"/>
      <c r="G13" s="4"/>
      <c r="AH13" s="6"/>
      <c r="AI13" s="6"/>
      <c r="AN13" s="4"/>
      <c r="AO13" s="5"/>
    </row>
    <row r="14" spans="1:47" x14ac:dyDescent="0.25">
      <c r="D14" s="4"/>
      <c r="E14" s="4"/>
      <c r="F14" s="4"/>
      <c r="G14" s="4"/>
      <c r="AH14" s="6"/>
      <c r="AI14" s="6"/>
      <c r="AN14" s="4"/>
      <c r="AO14" s="5"/>
    </row>
    <row r="15" spans="1:47" x14ac:dyDescent="0.25">
      <c r="D15" s="4"/>
      <c r="E15" s="4"/>
      <c r="F15" s="4"/>
      <c r="G15" s="4"/>
      <c r="AH15" s="6"/>
      <c r="AI15" s="6"/>
      <c r="AN15" s="4"/>
      <c r="AO15" s="5"/>
    </row>
    <row r="16" spans="1:47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9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AS5:AS8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E9AD26A4-156A-4369-AD17-0483D5FCE3B0}"/>
</file>

<file path=customXml/itemProps2.xml><?xml version="1.0" encoding="utf-8"?>
<ds:datastoreItem xmlns:ds="http://schemas.openxmlformats.org/officeDocument/2006/customXml" ds:itemID="{37CD8F9C-BEF0-4EBD-9E38-C4B211F05706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D1F540B3-3E54-4F3C-832F-93995AE82B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27D3AF-3392-4538-AB97-E501458D5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2024-12-19T16:29:44Z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