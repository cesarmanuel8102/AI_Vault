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alassociates.sharepoint.com/Shared Documents/Projects/2023/GA23036 - D6 SR 886 Port Blvd/06 CADD/44391315201/Calculations/"/>
    </mc:Choice>
  </mc:AlternateContent>
  <xr:revisionPtr revIDLastSave="1067" documentId="13_ncr:1_{0FCE51EF-6524-4CED-A072-4B80BCB6D06E}" xr6:coauthVersionLast="47" xr6:coauthVersionMax="47" xr10:uidLastSave="{BAB57AC4-E784-49B0-882E-A4CECB97D5DB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8" i="1" l="1"/>
  <c r="Y19" i="1"/>
  <c r="Y4" i="1"/>
  <c r="Y20" i="1"/>
  <c r="Y21" i="1"/>
  <c r="Y23" i="1"/>
  <c r="Y22" i="1"/>
  <c r="Y7" i="1" l="1"/>
</calcChain>
</file>

<file path=xl/sharedStrings.xml><?xml version="1.0" encoding="utf-8"?>
<sst xmlns="http://schemas.openxmlformats.org/spreadsheetml/2006/main" count="194" uniqueCount="83">
  <si>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</si>
  <si>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</si>
  <si>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</si>
  <si>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</si>
  <si>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</si>
  <si>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</si>
  <si>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</si>
  <si>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</si>
  <si>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</si>
  <si>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</si>
  <si>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</si>
  <si>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</si>
  <si>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</si>
  <si>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</si>
  <si>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</si>
  <si>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</si>
  <si>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</si>
  <si>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</si>
  <si>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</si>
  <si>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</si>
  <si>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</si>
  <si>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</si>
  <si>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</si>
  <si>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</si>
  <si>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</si>
  <si>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</si>
  <si>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</si>
  <si>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</si>
  <si>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</si>
  <si>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</si>
  <si>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</si>
  <si>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</si>
  <si>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</si>
  <si>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</si>
  <si>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</si>
  <si>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</si>
  <si>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</si>
  <si>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</si>
  <si>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</si>
  <si>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</si>
  <si>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</si>
  <si>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/>
  </si>
  <si>
    <t>LF</t>
  </si>
  <si>
    <t>0</t>
  </si>
  <si>
    <t>0635  2 11</t>
  </si>
  <si>
    <t>Pull &amp; Splice Box, F&amp;I, 13 X 24 Cover Size</t>
  </si>
  <si>
    <t>EA</t>
  </si>
  <si>
    <t>RT</t>
  </si>
  <si>
    <t>0653  1 11</t>
  </si>
  <si>
    <t>Pedestrian Signal, Furnish &amp; Install Led Countdown, 1 Way</t>
  </si>
  <si>
    <t>AS</t>
  </si>
  <si>
    <t>0665 1 11</t>
  </si>
  <si>
    <t>PEDESTRIAN DETECTOR, FURNISH &amp; INSTALL, STANDARD</t>
  </si>
  <si>
    <t>Summary of Signalization Items - 443913-1-52-02</t>
  </si>
  <si>
    <t>0646 1 60</t>
  </si>
  <si>
    <t>ALUMINUM SIGNALS POLE, REMOVE</t>
  </si>
  <si>
    <t>0632 7 1</t>
  </si>
  <si>
    <t>SIGNAL CABLE- NEW OR RECONSTRUCTED INTERSECTION, FURNISH &amp; INSTALL</t>
  </si>
  <si>
    <t>PI</t>
  </si>
  <si>
    <t>0646 1 11</t>
  </si>
  <si>
    <t>ALUMINUM SIGNALS POLE, PEDESTAL</t>
  </si>
  <si>
    <t>LOOP ASSEMBLY, F&amp;I, TYPE F</t>
  </si>
  <si>
    <t>0660 2 106</t>
  </si>
  <si>
    <t>104+63.74</t>
  </si>
  <si>
    <t>104+64.90</t>
  </si>
  <si>
    <t>104+70.31</t>
  </si>
  <si>
    <t>104+78.08</t>
  </si>
  <si>
    <t>104+96.40</t>
  </si>
  <si>
    <t>CL-SR5</t>
  </si>
  <si>
    <t>105+01.33</t>
  </si>
  <si>
    <t>104+03.31</t>
  </si>
  <si>
    <t>104+03.07</t>
  </si>
  <si>
    <t>104+06.38</t>
  </si>
  <si>
    <t>104+69.37</t>
  </si>
  <si>
    <t>104+72.31</t>
  </si>
  <si>
    <t>104+77.23</t>
  </si>
  <si>
    <t>104+79.61</t>
  </si>
  <si>
    <t>104+82.27</t>
  </si>
  <si>
    <t>104+73.21</t>
  </si>
  <si>
    <t>103+88.22</t>
  </si>
  <si>
    <t>104+02.59</t>
  </si>
  <si>
    <t>0630  2 12</t>
  </si>
  <si>
    <t>CONDUIT, FURNISH &amp; INSTALL, DIRECTIONAL BORE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</si>
</sst>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+00.00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  <font>
      <sz val="8"/>
      <name val="Calibri"/>
      <family val="2"/>
      <scheme val="minor"/>
    </font>
    <font>
      <sz val="8"/>
      <name val="FDOT"/>
    </font>
    <font>
      <b/>
      <sz val="8"/>
      <color rgb="FFFF0000"/>
      <name val="FDOT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P23"/>
  <sheetViews>
    <sheetView tabSelected="1" showRuler="0" topLeftCell="B1" zoomScale="115" zoomScaleNormal="115" zoomScaleSheetLayoutView="90" zoomScalePageLayoutView="80" workbookViewId="0">
      <pane ySplit="3" topLeftCell="A4" activePane="bottomLeft" state="frozen"/>
      <selection activeCell="B1" sqref="B1"/>
      <selection pane="bottomLeft" activeCell="D32" sqref="D32"/>
    </sheetView>
  </sheetViews>
  <sheetFormatPr defaultColWidth="9.140625" defaultRowHeight="11.25" x14ac:dyDescent="0.25"/>
  <cols>
    <col min="1" max="1" width="9.140625" style="3" hidden="1" customWidth="1"/>
    <col min="2" max="2" width="10.85546875" style="2" customWidth="1"/>
    <col min="3" max="3" width="0.7109375" style="2" hidden="1" customWidth="1"/>
    <col min="4" max="4" width="95.28515625" style="2" customWidth="1"/>
    <col min="5" max="7" width="10.7109375" style="2" hidden="1" customWidth="1"/>
    <col min="8" max="8" width="8.28515625" style="2" customWidth="1"/>
    <col min="9" max="10" width="10.7109375" style="2" hidden="1" customWidth="1"/>
    <col min="11" max="11" width="13.28515625" style="2" hidden="1" customWidth="1"/>
    <col min="12" max="14" width="10.7109375" style="2" hidden="1" customWidth="1"/>
    <col min="15" max="15" width="6.7109375" style="2" hidden="1" customWidth="1"/>
    <col min="16" max="16" width="10.7109375" style="2" hidden="1" customWidth="1"/>
    <col min="17" max="17" width="6.7109375" style="2" hidden="1" customWidth="1"/>
    <col min="18" max="20" width="10.7109375" style="2" hidden="1" customWidth="1"/>
    <col min="21" max="21" width="9.7109375" style="2" hidden="1" customWidth="1"/>
    <col min="22" max="22" width="6.7109375" style="2" hidden="1" customWidth="1"/>
    <col min="23" max="26" width="6.7109375" style="2" customWidth="1"/>
    <col min="27" max="32" width="6.7109375" style="2" hidden="1" customWidth="1"/>
    <col min="33" max="33" width="9.28515625" style="2" customWidth="1"/>
    <col min="34" max="35" width="12.7109375" style="2" customWidth="1"/>
    <col min="36" max="36" width="12.7109375" style="2" hidden="1" customWidth="1"/>
    <col min="37" max="37" width="6.7109375" style="2" hidden="1" customWidth="1"/>
    <col min="38" max="38" width="6.7109375" style="2" customWidth="1"/>
    <col min="39" max="39" width="7.7109375" style="2" customWidth="1"/>
    <col min="40" max="40" width="17.5703125" style="2" customWidth="1"/>
    <col min="41" max="41" width="14.7109375" style="6" customWidth="1"/>
    <col min="42" max="42" width="9.140625" style="1" customWidth="1"/>
    <col min="43" max="16384" width="9.140625" style="1"/>
  </cols>
  <sheetData>
    <row r="1" spans="1:42" ht="15" customHeight="1" x14ac:dyDescent="0.25">
      <c r="A1" s="26" t="s">
        <v>53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8"/>
    </row>
    <row r="2" spans="1:42" s="4" customFormat="1" ht="11.25" customHeight="1" x14ac:dyDescent="0.25">
      <c r="A2" s="29" t="s">
        <v>0</v>
      </c>
      <c r="B2" s="30" t="s">
        <v>1</v>
      </c>
      <c r="C2" s="30" t="s">
        <v>2</v>
      </c>
      <c r="D2" s="30" t="s">
        <v>3</v>
      </c>
      <c r="E2" s="30" t="s">
        <v>4</v>
      </c>
      <c r="F2" s="30" t="s">
        <v>5</v>
      </c>
      <c r="G2" s="30" t="s">
        <v>6</v>
      </c>
      <c r="H2" s="30" t="s">
        <v>7</v>
      </c>
      <c r="I2" s="30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0" t="s">
        <v>14</v>
      </c>
      <c r="P2" s="30" t="s">
        <v>15</v>
      </c>
      <c r="Q2" s="30" t="s">
        <v>16</v>
      </c>
      <c r="R2" s="30" t="s">
        <v>17</v>
      </c>
      <c r="S2" s="30" t="s">
        <v>18</v>
      </c>
      <c r="T2" s="30" t="s">
        <v>19</v>
      </c>
      <c r="U2" s="30" t="s">
        <v>20</v>
      </c>
      <c r="V2" s="30" t="s">
        <v>21</v>
      </c>
      <c r="W2" s="30"/>
      <c r="X2" s="30"/>
      <c r="Y2" s="30" t="s">
        <v>22</v>
      </c>
      <c r="Z2" s="30"/>
      <c r="AA2" s="30" t="s">
        <v>23</v>
      </c>
      <c r="AB2" s="30"/>
      <c r="AC2" s="30"/>
      <c r="AD2" s="30" t="s">
        <v>24</v>
      </c>
      <c r="AE2" s="30"/>
      <c r="AF2" s="30"/>
      <c r="AG2" s="30"/>
      <c r="AH2" s="30"/>
      <c r="AI2" s="30"/>
      <c r="AJ2" s="30"/>
      <c r="AK2" s="30"/>
      <c r="AL2" s="30"/>
      <c r="AM2" s="30"/>
      <c r="AN2" s="30" t="s">
        <v>25</v>
      </c>
      <c r="AO2" s="31" t="s">
        <v>26</v>
      </c>
    </row>
    <row r="3" spans="1:42" s="4" customFormat="1" ht="33.75" x14ac:dyDescent="0.25">
      <c r="A3" s="29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5" t="s">
        <v>27</v>
      </c>
      <c r="W3" s="5" t="s">
        <v>28</v>
      </c>
      <c r="X3" s="5" t="s">
        <v>29</v>
      </c>
      <c r="Y3" s="5" t="s">
        <v>28</v>
      </c>
      <c r="Z3" s="5" t="s">
        <v>29</v>
      </c>
      <c r="AA3" s="5" t="s">
        <v>30</v>
      </c>
      <c r="AB3" s="5" t="s">
        <v>28</v>
      </c>
      <c r="AC3" s="5" t="s">
        <v>29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5" t="s">
        <v>40</v>
      </c>
      <c r="AN3" s="30"/>
      <c r="AO3" s="31"/>
    </row>
    <row r="4" spans="1:42" x14ac:dyDescent="0.25">
      <c r="B4" s="7" t="s">
        <v>81</v>
      </c>
      <c r="C4" s="7" t="s">
        <v>41</v>
      </c>
      <c r="D4" s="8" t="s">
        <v>82</v>
      </c>
      <c r="E4" s="8"/>
      <c r="F4" s="8"/>
      <c r="G4" s="8"/>
      <c r="H4" s="7" t="s">
        <v>42</v>
      </c>
      <c r="I4" s="7" t="s">
        <v>41</v>
      </c>
      <c r="J4" s="7" t="s">
        <v>41</v>
      </c>
      <c r="K4" s="7"/>
      <c r="L4" s="7"/>
      <c r="M4" s="7" t="s">
        <v>41</v>
      </c>
      <c r="N4" s="7" t="s">
        <v>41</v>
      </c>
      <c r="O4" s="7"/>
      <c r="P4" s="7" t="s">
        <v>41</v>
      </c>
      <c r="Q4" s="7" t="s">
        <v>41</v>
      </c>
      <c r="R4" s="7" t="s">
        <v>41</v>
      </c>
      <c r="S4" s="7" t="s">
        <v>41</v>
      </c>
      <c r="T4" s="7" t="s">
        <v>41</v>
      </c>
      <c r="U4" s="7" t="s">
        <v>41</v>
      </c>
      <c r="V4" s="7"/>
      <c r="W4" s="7">
        <v>5</v>
      </c>
      <c r="X4" s="7"/>
      <c r="Y4" s="7">
        <f>SUM(W4:W6)</f>
        <v>36</v>
      </c>
      <c r="Z4" s="7"/>
      <c r="AA4" s="7" t="s">
        <v>41</v>
      </c>
      <c r="AB4" s="7" t="s">
        <v>41</v>
      </c>
      <c r="AC4" s="7"/>
      <c r="AD4" s="7" t="s">
        <v>41</v>
      </c>
      <c r="AE4" s="7"/>
      <c r="AF4" s="7"/>
      <c r="AG4" s="7" t="s">
        <v>68</v>
      </c>
      <c r="AH4" s="9" t="s">
        <v>63</v>
      </c>
      <c r="AI4" s="9" t="s">
        <v>64</v>
      </c>
      <c r="AJ4" s="7" t="s">
        <v>41</v>
      </c>
      <c r="AK4" s="7" t="s">
        <v>43</v>
      </c>
      <c r="AL4" s="7" t="s">
        <v>47</v>
      </c>
      <c r="AM4" s="7">
        <v>4301</v>
      </c>
      <c r="AN4" s="7"/>
      <c r="AO4" s="10" t="s">
        <v>41</v>
      </c>
    </row>
    <row r="5" spans="1:42" x14ac:dyDescent="0.25">
      <c r="D5" s="23"/>
      <c r="E5" s="23"/>
      <c r="F5" s="23"/>
      <c r="G5" s="23"/>
      <c r="W5" s="2">
        <v>13</v>
      </c>
      <c r="AG5" s="2" t="s">
        <v>68</v>
      </c>
      <c r="AH5" s="24" t="s">
        <v>65</v>
      </c>
      <c r="AI5" s="24" t="s">
        <v>66</v>
      </c>
      <c r="AL5" s="2" t="s">
        <v>47</v>
      </c>
      <c r="AM5" s="2">
        <v>12270</v>
      </c>
      <c r="AO5" s="16"/>
    </row>
    <row r="6" spans="1:42" x14ac:dyDescent="0.25">
      <c r="D6" s="23"/>
      <c r="E6" s="23"/>
      <c r="F6" s="23"/>
      <c r="G6" s="23"/>
      <c r="W6" s="2">
        <v>18</v>
      </c>
      <c r="AG6" s="2" t="s">
        <v>68</v>
      </c>
      <c r="AH6" s="24" t="s">
        <v>66</v>
      </c>
      <c r="AI6" s="24" t="s">
        <v>67</v>
      </c>
      <c r="AL6" s="2" t="s">
        <v>47</v>
      </c>
      <c r="AM6" s="2">
        <v>14161</v>
      </c>
      <c r="AO6" s="16"/>
    </row>
    <row r="7" spans="1:42" x14ac:dyDescent="0.25">
      <c r="B7" s="18" t="s">
        <v>56</v>
      </c>
      <c r="C7" s="19"/>
      <c r="D7" s="20" t="s">
        <v>57</v>
      </c>
      <c r="E7" s="21"/>
      <c r="F7" s="21"/>
      <c r="G7" s="21"/>
      <c r="H7" s="18" t="s">
        <v>58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8">
        <v>1</v>
      </c>
      <c r="X7" s="18"/>
      <c r="Y7" s="18">
        <f>W7</f>
        <v>1</v>
      </c>
      <c r="Z7" s="18"/>
      <c r="AA7" s="18"/>
      <c r="AB7" s="18"/>
      <c r="AC7" s="18"/>
      <c r="AD7" s="18"/>
      <c r="AE7" s="18"/>
      <c r="AF7" s="18"/>
      <c r="AG7" s="7" t="s">
        <v>68</v>
      </c>
      <c r="AH7" s="22" t="s">
        <v>69</v>
      </c>
      <c r="AI7" s="22" t="s">
        <v>69</v>
      </c>
      <c r="AJ7" s="18"/>
      <c r="AK7" s="18"/>
      <c r="AL7" s="18" t="s">
        <v>47</v>
      </c>
      <c r="AM7" s="18">
        <v>4182</v>
      </c>
      <c r="AN7" s="7"/>
      <c r="AO7" s="10"/>
    </row>
    <row r="8" spans="1:42" x14ac:dyDescent="0.25">
      <c r="B8" s="18" t="s">
        <v>44</v>
      </c>
      <c r="C8" s="18" t="s">
        <v>41</v>
      </c>
      <c r="D8" s="20" t="s">
        <v>45</v>
      </c>
      <c r="E8" s="20"/>
      <c r="F8" s="20"/>
      <c r="G8" s="20"/>
      <c r="H8" s="18" t="s">
        <v>46</v>
      </c>
      <c r="I8" s="18" t="s">
        <v>41</v>
      </c>
      <c r="J8" s="18" t="s">
        <v>41</v>
      </c>
      <c r="K8" s="18"/>
      <c r="L8" s="18"/>
      <c r="M8" s="18" t="s">
        <v>41</v>
      </c>
      <c r="N8" s="18" t="s">
        <v>41</v>
      </c>
      <c r="O8" s="18"/>
      <c r="P8" s="18" t="s">
        <v>41</v>
      </c>
      <c r="Q8" s="18" t="s">
        <v>41</v>
      </c>
      <c r="R8" s="18" t="s">
        <v>41</v>
      </c>
      <c r="S8" s="18" t="s">
        <v>41</v>
      </c>
      <c r="T8" s="18" t="s">
        <v>41</v>
      </c>
      <c r="U8" s="18" t="s">
        <v>41</v>
      </c>
      <c r="V8" s="18"/>
      <c r="W8" s="18">
        <v>1</v>
      </c>
      <c r="X8" s="18"/>
      <c r="Y8" s="18">
        <f>SUM(W8:W18)</f>
        <v>11</v>
      </c>
      <c r="Z8" s="25"/>
      <c r="AA8" s="18"/>
      <c r="AB8" s="18"/>
      <c r="AC8" s="18"/>
      <c r="AD8" s="18"/>
      <c r="AE8" s="18"/>
      <c r="AF8" s="18"/>
      <c r="AG8" s="7" t="s">
        <v>68</v>
      </c>
      <c r="AH8" s="7" t="s">
        <v>71</v>
      </c>
      <c r="AI8" s="7" t="s">
        <v>71</v>
      </c>
      <c r="AJ8" s="18"/>
      <c r="AK8" s="18"/>
      <c r="AL8" s="18" t="s">
        <v>47</v>
      </c>
      <c r="AM8" s="18">
        <v>12005</v>
      </c>
      <c r="AN8" s="7"/>
      <c r="AO8" s="10" t="s">
        <v>41</v>
      </c>
    </row>
    <row r="9" spans="1:42" s="15" customFormat="1" x14ac:dyDescent="0.25">
      <c r="A9" s="12"/>
      <c r="B9" s="19"/>
      <c r="C9" s="19"/>
      <c r="D9" s="21"/>
      <c r="E9" s="21"/>
      <c r="F9" s="21"/>
      <c r="G9" s="21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>
        <v>1</v>
      </c>
      <c r="X9" s="2"/>
      <c r="Y9" s="2"/>
      <c r="Z9" s="2"/>
      <c r="AA9" s="1"/>
      <c r="AB9" s="1"/>
      <c r="AC9" s="1"/>
      <c r="AD9" s="1"/>
      <c r="AE9" s="1"/>
      <c r="AF9" s="1"/>
      <c r="AG9" s="2" t="s">
        <v>68</v>
      </c>
      <c r="AH9" s="17" t="s">
        <v>72</v>
      </c>
      <c r="AI9" s="15" t="s">
        <v>72</v>
      </c>
      <c r="AJ9" s="17"/>
      <c r="AK9" s="17"/>
      <c r="AL9" s="17" t="s">
        <v>47</v>
      </c>
      <c r="AM9" s="17">
        <v>5166</v>
      </c>
      <c r="AN9" s="2"/>
      <c r="AO9" s="14"/>
      <c r="AP9" s="1"/>
    </row>
    <row r="10" spans="1:42" s="15" customFormat="1" x14ac:dyDescent="0.25">
      <c r="A10" s="12"/>
      <c r="B10" s="19"/>
      <c r="C10" s="19"/>
      <c r="D10" s="21"/>
      <c r="E10" s="21"/>
      <c r="F10" s="21"/>
      <c r="G10" s="21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>
        <v>1</v>
      </c>
      <c r="X10" s="13"/>
      <c r="Y10" s="13"/>
      <c r="Z10" s="13"/>
      <c r="AG10" s="2" t="s">
        <v>68</v>
      </c>
      <c r="AH10" s="17" t="s">
        <v>70</v>
      </c>
      <c r="AI10" s="17" t="s">
        <v>70</v>
      </c>
      <c r="AJ10" s="17"/>
      <c r="AK10" s="17"/>
      <c r="AL10" s="17" t="s">
        <v>47</v>
      </c>
      <c r="AM10" s="17">
        <v>12019</v>
      </c>
      <c r="AN10" s="2"/>
      <c r="AO10" s="14"/>
      <c r="AP10" s="1"/>
    </row>
    <row r="11" spans="1:42" s="15" customFormat="1" x14ac:dyDescent="0.25">
      <c r="A11" s="12"/>
      <c r="B11" s="19"/>
      <c r="C11" s="19"/>
      <c r="D11" s="21"/>
      <c r="E11" s="21"/>
      <c r="F11" s="21"/>
      <c r="G11" s="21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>
        <v>1</v>
      </c>
      <c r="X11" s="13"/>
      <c r="Y11" s="13"/>
      <c r="Z11" s="13"/>
      <c r="AG11" s="2" t="s">
        <v>68</v>
      </c>
      <c r="AH11" s="17" t="s">
        <v>64</v>
      </c>
      <c r="AI11" s="17" t="s">
        <v>64</v>
      </c>
      <c r="AJ11" s="17"/>
      <c r="AK11" s="17"/>
      <c r="AL11" s="17" t="s">
        <v>47</v>
      </c>
      <c r="AM11" s="17">
        <v>12054</v>
      </c>
      <c r="AN11" s="2"/>
      <c r="AO11" s="14"/>
      <c r="AP11" s="1"/>
    </row>
    <row r="12" spans="1:42" s="15" customFormat="1" x14ac:dyDescent="0.25">
      <c r="A12" s="12"/>
      <c r="B12" s="19"/>
      <c r="C12" s="19"/>
      <c r="D12" s="21"/>
      <c r="E12" s="21"/>
      <c r="F12" s="21"/>
      <c r="G12" s="21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>
        <v>1</v>
      </c>
      <c r="X12" s="19"/>
      <c r="Y12" s="17"/>
      <c r="Z12" s="19"/>
      <c r="AA12" s="19"/>
      <c r="AB12" s="19"/>
      <c r="AC12" s="19"/>
      <c r="AD12" s="19"/>
      <c r="AE12" s="19"/>
      <c r="AF12" s="19"/>
      <c r="AG12" s="2" t="s">
        <v>68</v>
      </c>
      <c r="AH12" s="17" t="s">
        <v>73</v>
      </c>
      <c r="AI12" s="17" t="s">
        <v>73</v>
      </c>
      <c r="AJ12" s="17"/>
      <c r="AK12" s="17"/>
      <c r="AL12" s="17" t="s">
        <v>47</v>
      </c>
      <c r="AM12" s="17">
        <v>12026</v>
      </c>
      <c r="AN12" s="2"/>
      <c r="AO12" s="14"/>
      <c r="AP12" s="1"/>
    </row>
    <row r="13" spans="1:42" s="15" customFormat="1" x14ac:dyDescent="0.25">
      <c r="A13" s="12"/>
      <c r="B13" s="19"/>
      <c r="C13" s="19"/>
      <c r="D13" s="21"/>
      <c r="E13" s="21"/>
      <c r="F13" s="21"/>
      <c r="G13" s="21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>
        <v>1</v>
      </c>
      <c r="X13" s="19"/>
      <c r="Y13" s="17"/>
      <c r="Z13" s="19"/>
      <c r="AA13" s="19"/>
      <c r="AB13" s="19"/>
      <c r="AC13" s="19"/>
      <c r="AD13" s="19"/>
      <c r="AE13" s="19"/>
      <c r="AF13" s="19"/>
      <c r="AG13" s="2" t="s">
        <v>68</v>
      </c>
      <c r="AH13" s="17" t="s">
        <v>74</v>
      </c>
      <c r="AI13" s="19" t="s">
        <v>74</v>
      </c>
      <c r="AJ13" s="19"/>
      <c r="AK13" s="19"/>
      <c r="AL13" s="19" t="s">
        <v>47</v>
      </c>
      <c r="AM13" s="19">
        <v>12159</v>
      </c>
      <c r="AN13" s="2"/>
      <c r="AO13" s="14"/>
      <c r="AP13" s="1"/>
    </row>
    <row r="14" spans="1:42" s="15" customFormat="1" x14ac:dyDescent="0.25">
      <c r="A14" s="12"/>
      <c r="B14" s="19"/>
      <c r="C14" s="19"/>
      <c r="D14" s="21"/>
      <c r="E14" s="21"/>
      <c r="F14" s="21"/>
      <c r="G14" s="21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>
        <v>1</v>
      </c>
      <c r="X14" s="19"/>
      <c r="Y14" s="17"/>
      <c r="Z14" s="19"/>
      <c r="AA14" s="19"/>
      <c r="AB14" s="19"/>
      <c r="AC14" s="19"/>
      <c r="AD14" s="19"/>
      <c r="AE14" s="19"/>
      <c r="AF14" s="19"/>
      <c r="AG14" s="2" t="s">
        <v>68</v>
      </c>
      <c r="AH14" s="17" t="s">
        <v>75</v>
      </c>
      <c r="AI14" s="19" t="s">
        <v>75</v>
      </c>
      <c r="AJ14" s="19"/>
      <c r="AK14" s="19"/>
      <c r="AL14" s="19" t="s">
        <v>47</v>
      </c>
      <c r="AM14" s="19">
        <v>16500</v>
      </c>
      <c r="AN14" s="2"/>
      <c r="AO14" s="14"/>
      <c r="AP14" s="1"/>
    </row>
    <row r="15" spans="1:42" s="15" customFormat="1" x14ac:dyDescent="0.25">
      <c r="A15" s="12"/>
      <c r="B15" s="19"/>
      <c r="C15" s="19"/>
      <c r="D15" s="21"/>
      <c r="E15" s="21"/>
      <c r="F15" s="21"/>
      <c r="G15" s="21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>
        <v>1</v>
      </c>
      <c r="X15" s="19"/>
      <c r="Y15" s="19"/>
      <c r="Z15" s="19"/>
      <c r="AA15" s="19"/>
      <c r="AB15" s="19"/>
      <c r="AC15" s="19"/>
      <c r="AD15" s="19"/>
      <c r="AE15" s="19"/>
      <c r="AF15" s="19"/>
      <c r="AG15" s="2" t="s">
        <v>68</v>
      </c>
      <c r="AH15" s="17" t="s">
        <v>66</v>
      </c>
      <c r="AI15" s="17" t="s">
        <v>66</v>
      </c>
      <c r="AJ15" s="17"/>
      <c r="AK15" s="17"/>
      <c r="AL15" s="17" t="s">
        <v>47</v>
      </c>
      <c r="AM15" s="17">
        <v>12033</v>
      </c>
      <c r="AN15" s="2"/>
      <c r="AO15" s="14"/>
      <c r="AP15" s="1"/>
    </row>
    <row r="16" spans="1:42" s="15" customFormat="1" x14ac:dyDescent="0.25">
      <c r="A16" s="12"/>
      <c r="B16" s="19"/>
      <c r="C16" s="19"/>
      <c r="D16" s="21"/>
      <c r="E16" s="21"/>
      <c r="F16" s="21"/>
      <c r="G16" s="21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>
        <v>1</v>
      </c>
      <c r="X16" s="19"/>
      <c r="Y16" s="19"/>
      <c r="Z16" s="19"/>
      <c r="AA16" s="19"/>
      <c r="AB16" s="19"/>
      <c r="AC16" s="19"/>
      <c r="AD16" s="19"/>
      <c r="AE16" s="19"/>
      <c r="AF16" s="19"/>
      <c r="AG16" s="2" t="s">
        <v>68</v>
      </c>
      <c r="AH16" s="17" t="s">
        <v>76</v>
      </c>
      <c r="AI16" s="17" t="s">
        <v>76</v>
      </c>
      <c r="AJ16" s="17"/>
      <c r="AK16" s="17"/>
      <c r="AL16" s="17" t="s">
        <v>47</v>
      </c>
      <c r="AM16" s="17">
        <v>12040</v>
      </c>
      <c r="AN16" s="2"/>
      <c r="AO16" s="14"/>
      <c r="AP16" s="1"/>
    </row>
    <row r="17" spans="1:42" s="15" customFormat="1" x14ac:dyDescent="0.25">
      <c r="A17" s="12"/>
      <c r="B17" s="19"/>
      <c r="C17" s="19"/>
      <c r="D17" s="21"/>
      <c r="E17" s="21"/>
      <c r="F17" s="21"/>
      <c r="G17" s="21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>
        <v>1</v>
      </c>
      <c r="X17" s="19"/>
      <c r="Y17" s="17"/>
      <c r="Z17" s="19"/>
      <c r="AA17" s="19"/>
      <c r="AB17" s="19"/>
      <c r="AC17" s="19"/>
      <c r="AD17" s="19"/>
      <c r="AE17" s="19"/>
      <c r="AF17" s="19"/>
      <c r="AG17" s="2" t="s">
        <v>68</v>
      </c>
      <c r="AH17" s="17" t="s">
        <v>77</v>
      </c>
      <c r="AI17" s="17" t="s">
        <v>77</v>
      </c>
      <c r="AJ17" s="17"/>
      <c r="AK17" s="17"/>
      <c r="AL17" s="17" t="s">
        <v>47</v>
      </c>
      <c r="AM17" s="17">
        <v>12047</v>
      </c>
      <c r="AN17" s="2"/>
      <c r="AO17" s="14"/>
      <c r="AP17" s="1"/>
    </row>
    <row r="18" spans="1:42" s="15" customFormat="1" x14ac:dyDescent="0.25">
      <c r="A18" s="12"/>
      <c r="B18" s="19"/>
      <c r="C18" s="19"/>
      <c r="D18" s="21"/>
      <c r="E18" s="21"/>
      <c r="F18" s="21"/>
      <c r="G18" s="21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>
        <v>1</v>
      </c>
      <c r="X18" s="19"/>
      <c r="Y18" s="17"/>
      <c r="Z18" s="19"/>
      <c r="AA18" s="19"/>
      <c r="AB18" s="19"/>
      <c r="AC18" s="19"/>
      <c r="AD18" s="19"/>
      <c r="AE18" s="19"/>
      <c r="AF18" s="19"/>
      <c r="AG18" s="2" t="s">
        <v>68</v>
      </c>
      <c r="AH18" s="17" t="s">
        <v>67</v>
      </c>
      <c r="AI18" s="17" t="s">
        <v>67</v>
      </c>
      <c r="AJ18" s="17"/>
      <c r="AK18" s="17"/>
      <c r="AL18" s="17" t="s">
        <v>47</v>
      </c>
      <c r="AM18" s="17">
        <v>14154</v>
      </c>
      <c r="AN18" s="2"/>
      <c r="AO18" s="14"/>
      <c r="AP18" s="1"/>
    </row>
    <row r="19" spans="1:42" s="15" customFormat="1" x14ac:dyDescent="0.25">
      <c r="A19" s="12"/>
      <c r="B19" s="18" t="s">
        <v>59</v>
      </c>
      <c r="C19" s="19"/>
      <c r="D19" s="20" t="s">
        <v>60</v>
      </c>
      <c r="E19" s="21"/>
      <c r="F19" s="21"/>
      <c r="G19" s="21"/>
      <c r="H19" s="18" t="s">
        <v>46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8">
        <v>1</v>
      </c>
      <c r="X19" s="18"/>
      <c r="Y19" s="18">
        <f>SUM(W19:W19)</f>
        <v>1</v>
      </c>
      <c r="Z19" s="18"/>
      <c r="AA19" s="18"/>
      <c r="AB19" s="18"/>
      <c r="AC19" s="18"/>
      <c r="AD19" s="18"/>
      <c r="AE19" s="18"/>
      <c r="AF19" s="18"/>
      <c r="AG19" s="7" t="s">
        <v>68</v>
      </c>
      <c r="AH19" s="22" t="s">
        <v>63</v>
      </c>
      <c r="AI19" s="22" t="s">
        <v>63</v>
      </c>
      <c r="AJ19" s="18"/>
      <c r="AK19" s="18"/>
      <c r="AL19" s="18" t="s">
        <v>47</v>
      </c>
      <c r="AM19" s="18">
        <v>3744</v>
      </c>
      <c r="AN19" s="7"/>
      <c r="AO19" s="10"/>
      <c r="AP19" s="1"/>
    </row>
    <row r="20" spans="1:42" x14ac:dyDescent="0.25">
      <c r="B20" s="18" t="s">
        <v>54</v>
      </c>
      <c r="C20" s="18"/>
      <c r="D20" s="20" t="s">
        <v>55</v>
      </c>
      <c r="E20" s="18"/>
      <c r="F20" s="18"/>
      <c r="G20" s="18"/>
      <c r="H20" s="18" t="s">
        <v>46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>
        <v>1</v>
      </c>
      <c r="X20" s="18"/>
      <c r="Y20" s="18">
        <f>SUM(W20:W20)</f>
        <v>1</v>
      </c>
      <c r="Z20" s="18"/>
      <c r="AA20" s="18"/>
      <c r="AB20" s="18"/>
      <c r="AC20" s="18"/>
      <c r="AD20" s="18"/>
      <c r="AE20" s="18"/>
      <c r="AF20" s="18"/>
      <c r="AG20" s="7" t="s">
        <v>68</v>
      </c>
      <c r="AH20" s="18" t="s">
        <v>78</v>
      </c>
      <c r="AI20" s="18" t="s">
        <v>78</v>
      </c>
      <c r="AJ20" s="18"/>
      <c r="AK20" s="18"/>
      <c r="AL20" s="18" t="s">
        <v>47</v>
      </c>
      <c r="AM20" s="18">
        <v>4080</v>
      </c>
      <c r="AN20" s="7"/>
      <c r="AO20" s="11"/>
    </row>
    <row r="21" spans="1:42" x14ac:dyDescent="0.25">
      <c r="B21" s="18" t="s">
        <v>48</v>
      </c>
      <c r="C21" s="18" t="s">
        <v>41</v>
      </c>
      <c r="D21" s="20" t="s">
        <v>49</v>
      </c>
      <c r="E21" s="18"/>
      <c r="F21" s="18"/>
      <c r="G21" s="18"/>
      <c r="H21" s="18" t="s">
        <v>50</v>
      </c>
      <c r="I21" s="18" t="s">
        <v>41</v>
      </c>
      <c r="J21" s="18" t="s">
        <v>41</v>
      </c>
      <c r="K21" s="18"/>
      <c r="L21" s="18"/>
      <c r="M21" s="18" t="s">
        <v>41</v>
      </c>
      <c r="N21" s="18" t="s">
        <v>41</v>
      </c>
      <c r="O21" s="18"/>
      <c r="P21" s="18" t="s">
        <v>41</v>
      </c>
      <c r="Q21" s="18" t="s">
        <v>41</v>
      </c>
      <c r="R21" s="18" t="s">
        <v>41</v>
      </c>
      <c r="S21" s="18" t="s">
        <v>41</v>
      </c>
      <c r="T21" s="18" t="s">
        <v>41</v>
      </c>
      <c r="U21" s="18" t="s">
        <v>41</v>
      </c>
      <c r="V21" s="18"/>
      <c r="W21" s="18">
        <v>1</v>
      </c>
      <c r="X21" s="18"/>
      <c r="Y21" s="18">
        <f>SUM(W21:W21)</f>
        <v>1</v>
      </c>
      <c r="Z21" s="18"/>
      <c r="AA21" s="18" t="s">
        <v>41</v>
      </c>
      <c r="AB21" s="18" t="s">
        <v>41</v>
      </c>
      <c r="AC21" s="18"/>
      <c r="AD21" s="18" t="s">
        <v>41</v>
      </c>
      <c r="AE21" s="18"/>
      <c r="AF21" s="18"/>
      <c r="AG21" s="7" t="s">
        <v>68</v>
      </c>
      <c r="AH21" s="22" t="s">
        <v>63</v>
      </c>
      <c r="AI21" s="22" t="s">
        <v>63</v>
      </c>
      <c r="AJ21" s="18"/>
      <c r="AK21" s="18"/>
      <c r="AL21" s="18" t="s">
        <v>47</v>
      </c>
      <c r="AM21" s="18">
        <v>3744</v>
      </c>
      <c r="AN21" s="7"/>
      <c r="AO21" s="11" t="s">
        <v>41</v>
      </c>
    </row>
    <row r="22" spans="1:42" x14ac:dyDescent="0.25">
      <c r="B22" s="18" t="s">
        <v>62</v>
      </c>
      <c r="C22" s="18"/>
      <c r="D22" s="20" t="s">
        <v>61</v>
      </c>
      <c r="E22" s="18"/>
      <c r="F22" s="18"/>
      <c r="G22" s="18"/>
      <c r="H22" s="18" t="s">
        <v>50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>
        <v>2</v>
      </c>
      <c r="X22" s="18"/>
      <c r="Y22" s="18">
        <f>SUM(W22:W22)</f>
        <v>2</v>
      </c>
      <c r="Z22" s="18"/>
      <c r="AA22" s="18"/>
      <c r="AB22" s="18"/>
      <c r="AC22" s="18"/>
      <c r="AD22" s="18"/>
      <c r="AE22" s="18"/>
      <c r="AF22" s="18"/>
      <c r="AG22" s="7" t="s">
        <v>68</v>
      </c>
      <c r="AH22" s="18" t="s">
        <v>79</v>
      </c>
      <c r="AI22" s="18" t="s">
        <v>80</v>
      </c>
      <c r="AJ22" s="18"/>
      <c r="AK22" s="18"/>
      <c r="AL22" s="18" t="s">
        <v>47</v>
      </c>
      <c r="AM22" s="18">
        <v>9506</v>
      </c>
      <c r="AN22" s="7"/>
      <c r="AO22" s="11"/>
    </row>
    <row r="23" spans="1:42" x14ac:dyDescent="0.25">
      <c r="B23" s="18" t="s">
        <v>51</v>
      </c>
      <c r="C23" s="20"/>
      <c r="D23" s="20" t="s">
        <v>52</v>
      </c>
      <c r="E23" s="17"/>
      <c r="F23" s="17"/>
      <c r="G23" s="17"/>
      <c r="H23" s="18" t="s">
        <v>46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>
        <v>1</v>
      </c>
      <c r="X23" s="18"/>
      <c r="Y23" s="18">
        <f>SUM(W23:W23)</f>
        <v>1</v>
      </c>
      <c r="Z23" s="18"/>
      <c r="AA23" s="18"/>
      <c r="AB23" s="18"/>
      <c r="AC23" s="18"/>
      <c r="AD23" s="18"/>
      <c r="AE23" s="18"/>
      <c r="AF23" s="18"/>
      <c r="AG23" s="7" t="s">
        <v>68</v>
      </c>
      <c r="AH23" s="22" t="s">
        <v>63</v>
      </c>
      <c r="AI23" s="22" t="s">
        <v>63</v>
      </c>
      <c r="AJ23" s="18"/>
      <c r="AK23" s="18"/>
      <c r="AL23" s="18" t="s">
        <v>47</v>
      </c>
      <c r="AM23" s="18">
        <v>3744</v>
      </c>
      <c r="AN23" s="7"/>
      <c r="AO23" s="11"/>
    </row>
  </sheetData>
  <mergeCells count="28"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</mergeCells>
  <phoneticPr fontId="3" type="noConversion"/>
  <pageMargins left="0.5" right="0.5" top="0.75" bottom="0.75" header="0.3" footer="0.3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788287ED-0E8D-4BD0-844B-682F9D7FCA91}"/>
</file>

<file path=customXml/itemProps2.xml><?xml version="1.0" encoding="utf-8"?>
<ds:datastoreItem xmlns:ds="http://schemas.openxmlformats.org/officeDocument/2006/customXml" ds:itemID="{6C793BF7-1C83-43C9-B291-0CB2C37488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BB89F2-0141-4AF6-82D0-7AA3AA8B61E3}">
  <ds:schemaRefs>
    <ds:schemaRef ds:uri="http://schemas.microsoft.com/office/2006/metadata/properties"/>
    <ds:schemaRef ds:uri="http://schemas.microsoft.com/office/infopath/2007/PartnerControls"/>
    <ds:schemaRef ds:uri="d60f96d0-6c09-4806-b141-00f274de1478"/>
    <ds:schemaRef ds:uri="c3906ed6-3203-4afe-9e96-c1d55762b86b"/>
  </ds:schemaRefs>
</ds:datastoreItem>
</file>

<file path=customXml/itemProps4.xml><?xml version="1.0" encoding="utf-8"?>
<ds:datastoreItem xmlns:ds="http://schemas.openxmlformats.org/officeDocument/2006/customXml" ds:itemID="{3755437A-60FB-4086-AA52-D0020FACF9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Goal Associates 01</cp:lastModifiedBy>
  <dcterms:created xsi:type="dcterms:W3CDTF">2019-12-17T15:58:45Z</dcterms:created>
  <dcterms:modified xsi:type="dcterms:W3CDTF">2025-05-12T18:18:58Z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  <property fmtid="{D5CDD505-2E9C-101B-9397-08002B2CF9AE}" pid="3" name="MediaServiceImageTags">
    <vt:lpwstr/>
  </property>
</Properties>
</file>