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13 Post Design/Revision/Revision 01/04 Submittal/EQR-RV01/"/>
    </mc:Choice>
  </mc:AlternateContent>
  <xr:revisionPtr revIDLastSave="1204" documentId="13_ncr:1_{34E7F0F9-0C58-4311-9D83-00E7BE023672}" xr6:coauthVersionLast="47" xr6:coauthVersionMax="47" xr10:uidLastSave="{152BD020-F58A-4971-A541-5AA2EC6E58B8}"/>
  <bookViews>
    <workbookView xWindow="28680" yWindow="-135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  <externalReference r:id="rId6"/>
  </externalReferences>
  <definedNames>
    <definedName name="_xlnm.Print_Area" localSheetId="1">Sheet2!$A$1:$AO$60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1" l="1"/>
  <c r="L11" i="1"/>
  <c r="L10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L30" i="1"/>
  <c r="L29" i="1"/>
  <c r="L28" i="1"/>
  <c r="L27" i="1"/>
  <c r="L22" i="1"/>
  <c r="L21" i="1"/>
  <c r="L20" i="1"/>
  <c r="L19" i="1"/>
  <c r="M26" i="1"/>
  <c r="M25" i="1"/>
  <c r="M24" i="1"/>
  <c r="M23" i="1"/>
  <c r="L18" i="1"/>
  <c r="L17" i="1"/>
  <c r="L16" i="1"/>
  <c r="L15" i="1"/>
  <c r="M30" i="1"/>
  <c r="M29" i="1"/>
  <c r="M28" i="1"/>
  <c r="M27" i="1"/>
  <c r="M22" i="1"/>
  <c r="M21" i="1"/>
  <c r="M20" i="1"/>
  <c r="M19" i="1"/>
  <c r="M18" i="1"/>
  <c r="M17" i="1"/>
  <c r="M16" i="1"/>
  <c r="M15" i="1"/>
  <c r="W5" i="1"/>
  <c r="Y14" i="1"/>
  <c r="Y13" i="1"/>
  <c r="L23" i="1"/>
  <c r="M12" i="1" l="1"/>
  <c r="M11" i="1"/>
  <c r="M10" i="1"/>
  <c r="M9" i="1"/>
  <c r="AB4" i="1"/>
  <c r="L25" i="1" l="1"/>
  <c r="W6" i="1"/>
  <c r="W7" i="1"/>
  <c r="W8" i="1"/>
  <c r="W23" i="1" l="1"/>
  <c r="Y31" i="1" l="1"/>
  <c r="W27" i="1" l="1"/>
  <c r="W24" i="1"/>
  <c r="W25" i="1"/>
  <c r="W26" i="1"/>
  <c r="W19" i="1"/>
  <c r="W20" i="1"/>
  <c r="W21" i="1"/>
  <c r="W22" i="1"/>
  <c r="W16" i="1"/>
  <c r="W17" i="1"/>
  <c r="W18" i="1"/>
  <c r="Y19" i="1" l="1"/>
  <c r="Y23" i="1"/>
  <c r="Y4" i="1"/>
  <c r="Y5" i="1" l="1"/>
  <c r="W15" i="1" l="1"/>
  <c r="Y15" i="1" s="1"/>
  <c r="W29" i="1"/>
  <c r="W30" i="1"/>
  <c r="W28" i="1"/>
  <c r="W11" i="1"/>
  <c r="Y27" i="1" l="1"/>
  <c r="W12" i="1"/>
  <c r="W10" i="1"/>
  <c r="Y41" i="1" l="1"/>
  <c r="Y35" i="1"/>
  <c r="Y40" i="1"/>
  <c r="Y39" i="1" l="1"/>
  <c r="L9" i="1" l="1"/>
  <c r="W9" i="1" s="1"/>
  <c r="Y9" i="1" s="1"/>
</calcChain>
</file>

<file path=xl/sharedStrings.xml><?xml version="1.0" encoding="utf-8"?>
<sst xmlns="http://schemas.openxmlformats.org/spreadsheetml/2006/main" count="232" uniqueCount="83">
  <si>
    <t>Summary of Temporary Traffic Control Plan Items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</si>
  <si>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</si>
  <si>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</si>
  <si>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</si>
  <si>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</si>
  <si>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</si>
  <si>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</si>
  <si>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</si>
  <si>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</si>
  <si>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</si>
  <si>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</si>
  <si>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</si>
  <si>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</si>
  <si>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</si>
  <si>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</si>
  <si>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</si>
  <si>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</si>
  <si>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</si>
  <si>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</si>
  <si>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</si>
  <si>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</si>
  <si>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</si>
  <si>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</si>
  <si>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</si>
  <si>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</si>
  <si>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</si>
  <si>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</si>
  <si>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</si>
  <si>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</si>
  <si>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</si>
  <si>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</si>
  <si>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</si>
  <si>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</si>
  <si>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</si>
  <si>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</si>
  <si>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</si>
  <si>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</si>
  <si>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</si>
  <si>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</si>
  <si>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</si>
  <si>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</si>
  <si>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</si>
  <si>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0102 1</t>
  </si>
  <si>
    <t>MAINTENANCE OF TRAFFIC</t>
  </si>
  <si>
    <t>LS</t>
  </si>
  <si>
    <t>0102 14</t>
  </si>
  <si>
    <t>TRAFFIC CONTROL OFFICER</t>
  </si>
  <si>
    <t>HR</t>
  </si>
  <si>
    <t>0102 60</t>
  </si>
  <si>
    <t>WORK ZONE SIGN</t>
  </si>
  <si>
    <t>ED</t>
  </si>
  <si>
    <t>0102 74 1</t>
  </si>
  <si>
    <t>DA</t>
  </si>
  <si>
    <t>CHANNELIZING DEVICE- TYPES I, II, DI, VP, DRUM, OR LCD</t>
  </si>
  <si>
    <t>0102 99</t>
  </si>
  <si>
    <t>TYPE III BARRICADE</t>
  </si>
  <si>
    <t>PORTABLE CHANGEABLE MESSAGE SIGN, TEMPORARY</t>
  </si>
  <si>
    <t>0102 115</t>
  </si>
  <si>
    <t>0102 76</t>
  </si>
  <si>
    <t>ARROW BOARD / ADVANCE WARNING ARROW PANEL</t>
  </si>
  <si>
    <t xml:space="preserve">  </t>
  </si>
  <si>
    <t>ALL</t>
  </si>
  <si>
    <t>0706  1  3</t>
  </si>
  <si>
    <t>RAISED PAVEMENT MARKER, TYPE B</t>
  </si>
  <si>
    <t>PAINTED PAVEMENT MARKINGS, STANDARD, WHITE, SOLID, 6"</t>
  </si>
  <si>
    <t>0710 11 101</t>
  </si>
  <si>
    <t>PAINTED PAVEMENT MARKINGS, STANDARD, YELLOW, SOLID, 6"</t>
  </si>
  <si>
    <t>0710 11 201</t>
  </si>
  <si>
    <t>EA</t>
  </si>
  <si>
    <t>GM</t>
  </si>
  <si>
    <t>14 DAYS PRIOR TO CONSTRUCTION</t>
  </si>
  <si>
    <t>Summary of Temporary Traffic Control Plan Items - 443913-1-52-01</t>
  </si>
  <si>
    <t>0710 11 131</t>
  </si>
  <si>
    <t>0710 11 141</t>
  </si>
  <si>
    <t>0102 71 13</t>
  </si>
  <si>
    <t>TEMPORARY BARRIER, F&amp;I, LOW PROFILE, CONCRETE</t>
  </si>
  <si>
    <t>LF</t>
  </si>
  <si>
    <t>PAINTED PAVEMENT MARKINGS, STANDARD, WHITE, SKIP, 10-30 OR 3-9 SKIP, 6" WIDE</t>
  </si>
  <si>
    <t>PAINTED PAVEMENT MARKINGS, STANDARD, WHITE, 2-4 DOTTED GUIDELINE/ 6-10 DOTTED EXTENSION, 6"</t>
  </si>
  <si>
    <t>4 HOURS/NIGHT. 81 CONSTRUCTION DAYS</t>
  </si>
  <si>
    <t>ASSUMED 270 CONSTRUCTION DAYS</t>
  </si>
  <si>
    <t>0102 71 23</t>
  </si>
  <si>
    <t>TEMPORARY BARRIER, RELOCATE, LOW PROFILE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</si>
</sst>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+00.00"/>
    <numFmt numFmtId="165" formatCode="0.000"/>
    <numFmt numFmtId="166" formatCode="0.0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  <font>
      <sz val="8"/>
      <color rgb="FFFF0000"/>
      <name val="FDOT"/>
    </font>
    <font>
      <sz val="8"/>
      <name val="FDO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alassociates.sharepoint.com/Shared%20Documents/Projects/2023/GA23036%20-%20D6%20SR%20886%20Port%20Blvd/05%20Analysis/MOT_Calculations.xlsx" TargetMode="External"/><Relationship Id="rId1" Type="http://schemas.openxmlformats.org/officeDocument/2006/relationships/externalLinkPath" Target="/Shared%20Documents/Projects/2023/GA23036%20-%20D6%20SR%20886%20Port%20Blvd/05%20Analysis/MOT_Calcul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alassociates.sharepoint.com/Shared%20Documents/Projects/2023/GA23036%20-%20D6%20SR%20886%20Port%20Blvd/05%20Analysis/MOT_Calculations%20-%20RV01.xlsx" TargetMode="External"/><Relationship Id="rId1" Type="http://schemas.openxmlformats.org/officeDocument/2006/relationships/externalLinkPath" Target="/Shared%20Documents/Projects/2023/GA23036%20-%20D6%20SR%20886%20Port%20Blvd/05%20Analysis/MOT_Calculations%20-%20R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ys of Construction"/>
      <sheetName val="102-14"/>
      <sheetName val="102-60"/>
      <sheetName val="102-74-1"/>
      <sheetName val="102-76"/>
      <sheetName val="102-115"/>
      <sheetName val="706-1-3"/>
      <sheetName val="710-11-101"/>
      <sheetName val="710-11-131"/>
      <sheetName val="710-11-141"/>
      <sheetName val="710-11-201"/>
    </sheetNames>
    <sheetDataSet>
      <sheetData sheetId="0"/>
      <sheetData sheetId="1">
        <row r="1">
          <cell r="L1">
            <v>270</v>
          </cell>
        </row>
        <row r="2">
          <cell r="L2">
            <v>90</v>
          </cell>
        </row>
        <row r="3">
          <cell r="L3">
            <v>45</v>
          </cell>
        </row>
        <row r="4">
          <cell r="L4">
            <v>45</v>
          </cell>
        </row>
        <row r="5">
          <cell r="L5">
            <v>90</v>
          </cell>
        </row>
      </sheetData>
      <sheetData sheetId="2">
        <row r="3">
          <cell r="B3">
            <v>76</v>
          </cell>
        </row>
      </sheetData>
      <sheetData sheetId="3">
        <row r="6">
          <cell r="B6">
            <v>481</v>
          </cell>
        </row>
      </sheetData>
      <sheetData sheetId="4">
        <row r="3">
          <cell r="B3">
            <v>4</v>
          </cell>
        </row>
      </sheetData>
      <sheetData sheetId="5">
        <row r="3">
          <cell r="B3">
            <v>10</v>
          </cell>
        </row>
      </sheetData>
      <sheetData sheetId="6">
        <row r="6">
          <cell r="F6">
            <v>1171</v>
          </cell>
        </row>
      </sheetData>
      <sheetData sheetId="7">
        <row r="6">
          <cell r="B6">
            <v>1.9808999999999999</v>
          </cell>
        </row>
      </sheetData>
      <sheetData sheetId="8">
        <row r="6">
          <cell r="B6">
            <v>0.25459999999999999</v>
          </cell>
        </row>
      </sheetData>
      <sheetData sheetId="9">
        <row r="6">
          <cell r="B6">
            <v>6.3800000000000009E-2</v>
          </cell>
        </row>
      </sheetData>
      <sheetData sheetId="10">
        <row r="6">
          <cell r="B6">
            <v>0.10680000000000001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ys of Construction"/>
      <sheetName val="102-14"/>
      <sheetName val="102-60"/>
      <sheetName val="102-74-1"/>
      <sheetName val="102-76"/>
      <sheetName val="102-115"/>
      <sheetName val="706-1-3"/>
      <sheetName val="710-11-101"/>
      <sheetName val="710-11-131"/>
      <sheetName val="710-11-141"/>
      <sheetName val="710-11-201"/>
    </sheetNames>
    <sheetDataSet>
      <sheetData sheetId="0" refreshError="1"/>
      <sheetData sheetId="1">
        <row r="2">
          <cell r="L2">
            <v>90</v>
          </cell>
        </row>
        <row r="3">
          <cell r="L3">
            <v>45</v>
          </cell>
        </row>
        <row r="4">
          <cell r="L4">
            <v>45</v>
          </cell>
        </row>
        <row r="5">
          <cell r="L5">
            <v>90</v>
          </cell>
        </row>
      </sheetData>
      <sheetData sheetId="2">
        <row r="3">
          <cell r="B3">
            <v>75</v>
          </cell>
        </row>
        <row r="4">
          <cell r="B4">
            <v>70</v>
          </cell>
        </row>
        <row r="5">
          <cell r="B5">
            <v>95</v>
          </cell>
        </row>
        <row r="6">
          <cell r="B6">
            <v>70</v>
          </cell>
        </row>
      </sheetData>
      <sheetData sheetId="3">
        <row r="6">
          <cell r="B6">
            <v>532</v>
          </cell>
        </row>
        <row r="11">
          <cell r="B11">
            <v>386</v>
          </cell>
        </row>
        <row r="16">
          <cell r="B16">
            <v>206</v>
          </cell>
        </row>
        <row r="21">
          <cell r="B21">
            <v>386</v>
          </cell>
        </row>
      </sheetData>
      <sheetData sheetId="4">
        <row r="3">
          <cell r="B3">
            <v>4</v>
          </cell>
        </row>
        <row r="4">
          <cell r="B4">
            <v>6</v>
          </cell>
        </row>
        <row r="5">
          <cell r="B5">
            <v>3</v>
          </cell>
        </row>
        <row r="6">
          <cell r="B6">
            <v>4</v>
          </cell>
        </row>
      </sheetData>
      <sheetData sheetId="5">
        <row r="3">
          <cell r="B3">
            <v>10</v>
          </cell>
        </row>
        <row r="4">
          <cell r="B4">
            <v>20</v>
          </cell>
        </row>
        <row r="5">
          <cell r="B5">
            <v>11</v>
          </cell>
        </row>
        <row r="6">
          <cell r="B6">
            <v>20</v>
          </cell>
        </row>
      </sheetData>
      <sheetData sheetId="6">
        <row r="6">
          <cell r="F6">
            <v>930</v>
          </cell>
        </row>
        <row r="11">
          <cell r="F11">
            <v>1715</v>
          </cell>
        </row>
        <row r="16">
          <cell r="F16">
            <v>1041</v>
          </cell>
        </row>
        <row r="21">
          <cell r="F21">
            <v>1795</v>
          </cell>
        </row>
      </sheetData>
      <sheetData sheetId="7">
        <row r="6">
          <cell r="B6">
            <v>1.6642999999999999</v>
          </cell>
        </row>
        <row r="11">
          <cell r="B11">
            <v>1.8848</v>
          </cell>
        </row>
        <row r="16">
          <cell r="B16">
            <v>2.0976000000000004</v>
          </cell>
        </row>
        <row r="21">
          <cell r="B21">
            <v>2.1920000000000002</v>
          </cell>
        </row>
      </sheetData>
      <sheetData sheetId="8">
        <row r="6">
          <cell r="B6">
            <v>0.19719999999999999</v>
          </cell>
        </row>
      </sheetData>
      <sheetData sheetId="9">
        <row r="6">
          <cell r="B6">
            <v>6.3800000000000009E-2</v>
          </cell>
        </row>
      </sheetData>
      <sheetData sheetId="10">
        <row r="6">
          <cell r="B6">
            <v>0.10680000000000001</v>
          </cell>
        </row>
        <row r="11">
          <cell r="B11">
            <v>8.48E-2</v>
          </cell>
        </row>
        <row r="16">
          <cell r="B16">
            <v>0.52969999999999995</v>
          </cell>
        </row>
        <row r="21">
          <cell r="B21">
            <v>0.52969999999999995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72"/>
  <sheetViews>
    <sheetView tabSelected="1" showRuler="0" topLeftCell="B1" zoomScaleNormal="100" zoomScaleSheetLayoutView="90" workbookViewId="0">
      <pane ySplit="3" topLeftCell="A4" activePane="bottomLeft" state="frozen"/>
      <selection activeCell="B1" sqref="B1"/>
      <selection pane="bottomLeft" activeCell="AP21" sqref="AP21"/>
    </sheetView>
  </sheetViews>
  <sheetFormatPr defaultColWidth="9.140625" defaultRowHeight="11.25" x14ac:dyDescent="0.25"/>
  <cols>
    <col min="1" max="1" width="9.140625" style="1" hidden="1" customWidth="1"/>
    <col min="2" max="2" width="11.42578125" style="1" bestFit="1" customWidth="1"/>
    <col min="3" max="3" width="9.7109375" style="1" hidden="1" customWidth="1"/>
    <col min="4" max="4" width="80.7109375" style="1" customWidth="1"/>
    <col min="5" max="7" width="10.7109375" style="1" hidden="1" customWidth="1"/>
    <col min="8" max="8" width="8.28515625" style="1" customWidth="1"/>
    <col min="9" max="10" width="10.7109375" style="1" hidden="1" customWidth="1"/>
    <col min="11" max="11" width="13.28515625" style="1" hidden="1" customWidth="1"/>
    <col min="12" max="13" width="10.7109375" style="1" customWidth="1"/>
    <col min="14" max="14" width="10.7109375" style="1" hidden="1" customWidth="1"/>
    <col min="15" max="15" width="6.7109375" style="1" hidden="1" customWidth="1"/>
    <col min="16" max="16" width="10.7109375" style="1" hidden="1" customWidth="1"/>
    <col min="17" max="17" width="6.7109375" style="1" hidden="1" customWidth="1"/>
    <col min="18" max="20" width="10.7109375" style="1" hidden="1" customWidth="1"/>
    <col min="21" max="21" width="9.7109375" style="1" hidden="1" customWidth="1"/>
    <col min="22" max="22" width="6.7109375" style="1" hidden="1" customWidth="1"/>
    <col min="23" max="23" width="12.140625" style="1" customWidth="1"/>
    <col min="24" max="30" width="6.7109375" style="1" customWidth="1"/>
    <col min="31" max="32" width="6.7109375" style="1" hidden="1" customWidth="1"/>
    <col min="33" max="33" width="9.28515625" style="1" hidden="1" customWidth="1"/>
    <col min="34" max="36" width="12.7109375" style="1" hidden="1" customWidth="1"/>
    <col min="37" max="38" width="6.7109375" style="1" hidden="1" customWidth="1"/>
    <col min="39" max="39" width="7.7109375" style="1" hidden="1" customWidth="1"/>
    <col min="40" max="40" width="35.7109375" style="1" customWidth="1"/>
    <col min="41" max="41" width="14.7109375" style="1" customWidth="1"/>
    <col min="42" max="43" width="9.140625" style="1" customWidth="1"/>
    <col min="44" max="16384" width="9.140625" style="1"/>
  </cols>
  <sheetData>
    <row r="1" spans="1:46" ht="15" customHeight="1" thickBot="1" x14ac:dyDescent="0.3">
      <c r="A1" s="19"/>
      <c r="B1" s="28" t="s">
        <v>71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</row>
    <row r="2" spans="1:46" s="12" customFormat="1" ht="11.25" customHeight="1" x14ac:dyDescent="0.25">
      <c r="A2" s="29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28" t="s">
        <v>11</v>
      </c>
      <c r="L2" s="28" t="s">
        <v>12</v>
      </c>
      <c r="M2" s="28" t="s">
        <v>13</v>
      </c>
      <c r="N2" s="28" t="s">
        <v>14</v>
      </c>
      <c r="O2" s="28" t="s">
        <v>15</v>
      </c>
      <c r="P2" s="28" t="s">
        <v>16</v>
      </c>
      <c r="Q2" s="28" t="s">
        <v>17</v>
      </c>
      <c r="R2" s="28" t="s">
        <v>18</v>
      </c>
      <c r="S2" s="28" t="s">
        <v>19</v>
      </c>
      <c r="T2" s="28" t="s">
        <v>20</v>
      </c>
      <c r="U2" s="28" t="s">
        <v>21</v>
      </c>
      <c r="V2" s="28" t="s">
        <v>22</v>
      </c>
      <c r="W2" s="28"/>
      <c r="X2" s="28"/>
      <c r="Y2" s="28" t="s">
        <v>23</v>
      </c>
      <c r="Z2" s="28"/>
      <c r="AA2" s="28" t="s">
        <v>24</v>
      </c>
      <c r="AB2" s="28"/>
      <c r="AC2" s="28"/>
      <c r="AD2" s="28" t="s">
        <v>25</v>
      </c>
      <c r="AE2" s="28"/>
      <c r="AF2" s="28"/>
      <c r="AG2" s="28"/>
      <c r="AH2" s="28"/>
      <c r="AI2" s="28"/>
      <c r="AJ2" s="28"/>
      <c r="AK2" s="28"/>
      <c r="AL2" s="28"/>
      <c r="AM2" s="28"/>
      <c r="AN2" s="28" t="s">
        <v>26</v>
      </c>
      <c r="AO2" s="28" t="s">
        <v>27</v>
      </c>
    </row>
    <row r="3" spans="1:46" s="12" customFormat="1" ht="33.75" x14ac:dyDescent="0.25">
      <c r="A3" s="30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13" t="s">
        <v>28</v>
      </c>
      <c r="W3" s="13" t="s">
        <v>29</v>
      </c>
      <c r="X3" s="13" t="s">
        <v>30</v>
      </c>
      <c r="Y3" s="13" t="s">
        <v>29</v>
      </c>
      <c r="Z3" s="13" t="s">
        <v>30</v>
      </c>
      <c r="AA3" s="13" t="s">
        <v>31</v>
      </c>
      <c r="AB3" s="13" t="s">
        <v>29</v>
      </c>
      <c r="AC3" s="13" t="s">
        <v>30</v>
      </c>
      <c r="AD3" s="13" t="s">
        <v>32</v>
      </c>
      <c r="AE3" s="13" t="s">
        <v>33</v>
      </c>
      <c r="AF3" s="13" t="s">
        <v>34</v>
      </c>
      <c r="AG3" s="13" t="s">
        <v>35</v>
      </c>
      <c r="AH3" s="13" t="s">
        <v>36</v>
      </c>
      <c r="AI3" s="13" t="s">
        <v>37</v>
      </c>
      <c r="AJ3" s="13" t="s">
        <v>38</v>
      </c>
      <c r="AK3" s="13" t="s">
        <v>39</v>
      </c>
      <c r="AL3" s="13" t="s">
        <v>40</v>
      </c>
      <c r="AM3" s="13" t="s">
        <v>41</v>
      </c>
      <c r="AN3" s="28"/>
      <c r="AO3" s="28"/>
    </row>
    <row r="4" spans="1:46" x14ac:dyDescent="0.25">
      <c r="A4" s="20"/>
      <c r="B4" s="2" t="s">
        <v>42</v>
      </c>
      <c r="C4" s="2"/>
      <c r="D4" s="6" t="s">
        <v>43</v>
      </c>
      <c r="E4" s="6"/>
      <c r="F4" s="6"/>
      <c r="G4" s="6"/>
      <c r="H4" s="2" t="s">
        <v>44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v>1</v>
      </c>
      <c r="X4" s="2"/>
      <c r="Y4" s="2">
        <f>W4</f>
        <v>1</v>
      </c>
      <c r="Z4" s="2"/>
      <c r="AA4" s="2" t="s">
        <v>52</v>
      </c>
      <c r="AB4" s="2">
        <f>'[1]102-14'!$L$1</f>
        <v>270</v>
      </c>
      <c r="AC4" s="2"/>
      <c r="AD4" s="2" t="s">
        <v>61</v>
      </c>
      <c r="AE4" s="2"/>
      <c r="AF4" s="2"/>
      <c r="AG4" s="2"/>
      <c r="AH4" s="10"/>
      <c r="AI4" s="10"/>
      <c r="AJ4" s="2"/>
      <c r="AK4" s="2"/>
      <c r="AL4" s="2"/>
      <c r="AM4" s="2"/>
      <c r="AN4" s="6" t="s">
        <v>80</v>
      </c>
      <c r="AO4" s="6"/>
    </row>
    <row r="5" spans="1:46" x14ac:dyDescent="0.25">
      <c r="A5" s="20"/>
      <c r="B5" s="38" t="s">
        <v>45</v>
      </c>
      <c r="C5" s="38"/>
      <c r="D5" s="39" t="s">
        <v>46</v>
      </c>
      <c r="E5" s="6"/>
      <c r="F5" s="6"/>
      <c r="G5" s="6"/>
      <c r="H5" s="2" t="s">
        <v>47</v>
      </c>
      <c r="I5" s="2"/>
      <c r="J5" s="2"/>
      <c r="K5" s="2"/>
      <c r="L5" s="2">
        <v>4</v>
      </c>
      <c r="M5" s="40">
        <v>23</v>
      </c>
      <c r="N5" s="2"/>
      <c r="O5" s="2"/>
      <c r="P5" s="2"/>
      <c r="Q5" s="2"/>
      <c r="R5" s="2"/>
      <c r="S5" s="2"/>
      <c r="T5" s="2"/>
      <c r="U5" s="2"/>
      <c r="V5" s="2"/>
      <c r="W5" s="2">
        <f>4*L5*M5</f>
        <v>368</v>
      </c>
      <c r="X5" s="2"/>
      <c r="Y5" s="2">
        <f>SUM(W5:W8)</f>
        <v>1036</v>
      </c>
      <c r="Z5" s="2"/>
      <c r="AA5" s="2"/>
      <c r="AB5" s="2"/>
      <c r="AC5" s="2"/>
      <c r="AD5" s="2">
        <v>1</v>
      </c>
      <c r="AE5" s="2"/>
      <c r="AF5" s="2"/>
      <c r="AG5" s="2"/>
      <c r="AH5" s="10"/>
      <c r="AI5" s="10"/>
      <c r="AJ5" s="2"/>
      <c r="AK5" s="2"/>
      <c r="AL5" s="2"/>
      <c r="AM5" s="2"/>
      <c r="AN5" s="6" t="s">
        <v>79</v>
      </c>
      <c r="AO5" s="6"/>
    </row>
    <row r="6" spans="1:46" x14ac:dyDescent="0.25">
      <c r="A6" s="20"/>
      <c r="B6" s="2"/>
      <c r="C6" s="2"/>
      <c r="D6" s="6"/>
      <c r="E6" s="6"/>
      <c r="F6" s="6"/>
      <c r="G6" s="6"/>
      <c r="H6" s="2"/>
      <c r="I6" s="2"/>
      <c r="J6" s="2"/>
      <c r="K6" s="2"/>
      <c r="L6" s="2">
        <v>4</v>
      </c>
      <c r="M6" s="40">
        <v>11</v>
      </c>
      <c r="N6" s="2"/>
      <c r="O6" s="2"/>
      <c r="P6" s="2"/>
      <c r="Q6" s="2"/>
      <c r="R6" s="2"/>
      <c r="S6" s="2"/>
      <c r="T6" s="2"/>
      <c r="U6" s="2"/>
      <c r="V6" s="2"/>
      <c r="W6" s="2">
        <f t="shared" ref="W6:W8" si="0">4*L6*M6</f>
        <v>176</v>
      </c>
      <c r="X6" s="2"/>
      <c r="Y6" s="2"/>
      <c r="Z6" s="2"/>
      <c r="AA6" s="2"/>
      <c r="AB6" s="2"/>
      <c r="AC6" s="2"/>
      <c r="AD6" s="2">
        <v>2</v>
      </c>
      <c r="AE6" s="2"/>
      <c r="AF6" s="2"/>
      <c r="AG6" s="2"/>
      <c r="AH6" s="10"/>
      <c r="AI6" s="10"/>
      <c r="AJ6" s="2"/>
      <c r="AK6" s="2"/>
      <c r="AL6" s="2"/>
      <c r="AM6" s="2"/>
      <c r="AN6" s="6"/>
      <c r="AO6" s="6"/>
    </row>
    <row r="7" spans="1:46" x14ac:dyDescent="0.25">
      <c r="A7" s="20"/>
      <c r="B7" s="2"/>
      <c r="C7" s="2"/>
      <c r="D7" s="6"/>
      <c r="E7" s="6"/>
      <c r="F7" s="6"/>
      <c r="G7" s="6"/>
      <c r="H7" s="2"/>
      <c r="I7" s="2"/>
      <c r="J7" s="2"/>
      <c r="K7" s="2"/>
      <c r="L7" s="2">
        <v>7</v>
      </c>
      <c r="M7" s="40">
        <v>11</v>
      </c>
      <c r="N7" s="2"/>
      <c r="O7" s="2"/>
      <c r="P7" s="2"/>
      <c r="Q7" s="2"/>
      <c r="R7" s="2"/>
      <c r="S7" s="2"/>
      <c r="T7" s="2"/>
      <c r="U7" s="2"/>
      <c r="V7" s="2"/>
      <c r="W7" s="2">
        <f t="shared" si="0"/>
        <v>308</v>
      </c>
      <c r="X7" s="2"/>
      <c r="Y7" s="2"/>
      <c r="Z7" s="2"/>
      <c r="AA7" s="2"/>
      <c r="AB7" s="2"/>
      <c r="AC7" s="2"/>
      <c r="AD7" s="2">
        <v>3</v>
      </c>
      <c r="AE7" s="2"/>
      <c r="AF7" s="2"/>
      <c r="AG7" s="2"/>
      <c r="AH7" s="10"/>
      <c r="AI7" s="10"/>
      <c r="AJ7" s="2"/>
      <c r="AK7" s="2"/>
      <c r="AL7" s="2"/>
      <c r="AM7" s="2"/>
      <c r="AN7" s="6"/>
      <c r="AO7" s="6"/>
    </row>
    <row r="8" spans="1:46" x14ac:dyDescent="0.25">
      <c r="A8" s="20"/>
      <c r="B8" s="2"/>
      <c r="C8" s="2"/>
      <c r="D8" s="6"/>
      <c r="E8" s="6"/>
      <c r="F8" s="6"/>
      <c r="G8" s="6"/>
      <c r="H8" s="2"/>
      <c r="I8" s="2"/>
      <c r="J8" s="2"/>
      <c r="K8" s="2"/>
      <c r="L8" s="2">
        <v>2</v>
      </c>
      <c r="M8" s="40">
        <v>23</v>
      </c>
      <c r="N8" s="2"/>
      <c r="O8" s="2"/>
      <c r="P8" s="2"/>
      <c r="Q8" s="2"/>
      <c r="R8" s="2"/>
      <c r="S8" s="2"/>
      <c r="T8" s="2"/>
      <c r="U8" s="2"/>
      <c r="V8" s="2"/>
      <c r="W8" s="2">
        <f t="shared" si="0"/>
        <v>184</v>
      </c>
      <c r="X8" s="2"/>
      <c r="Y8" s="2"/>
      <c r="Z8" s="2"/>
      <c r="AA8" s="2"/>
      <c r="AB8" s="2"/>
      <c r="AC8" s="2"/>
      <c r="AD8" s="2">
        <v>4</v>
      </c>
      <c r="AE8" s="2"/>
      <c r="AF8" s="2"/>
      <c r="AG8" s="2"/>
      <c r="AH8" s="10"/>
      <c r="AI8" s="10"/>
      <c r="AJ8" s="2"/>
      <c r="AK8" s="2"/>
      <c r="AL8" s="2"/>
      <c r="AM8" s="2"/>
      <c r="AN8" s="6"/>
      <c r="AO8" s="6"/>
    </row>
    <row r="9" spans="1:46" x14ac:dyDescent="0.25">
      <c r="A9" s="20"/>
      <c r="B9" s="38" t="s">
        <v>48</v>
      </c>
      <c r="C9" s="27"/>
      <c r="D9" s="39" t="s">
        <v>49</v>
      </c>
      <c r="E9" s="6"/>
      <c r="F9" s="6"/>
      <c r="G9" s="6"/>
      <c r="H9" s="2" t="s">
        <v>50</v>
      </c>
      <c r="I9" s="2"/>
      <c r="J9" s="2"/>
      <c r="K9" s="2"/>
      <c r="L9" s="2">
        <f>'[2]102-60'!$B$3</f>
        <v>75</v>
      </c>
      <c r="M9" s="41">
        <f>'[1]102-14'!$L$2</f>
        <v>90</v>
      </c>
      <c r="N9" s="2"/>
      <c r="O9" s="2"/>
      <c r="P9" s="2"/>
      <c r="Q9" s="2"/>
      <c r="R9" s="2"/>
      <c r="S9" s="2"/>
      <c r="T9" s="2"/>
      <c r="U9" s="2"/>
      <c r="V9" s="2"/>
      <c r="W9" s="2">
        <f>L9*M9</f>
        <v>6750</v>
      </c>
      <c r="X9" s="2"/>
      <c r="Y9" s="45">
        <f>SUM(W9:W12)</f>
        <v>20475</v>
      </c>
      <c r="Z9" s="2"/>
      <c r="AA9" s="2"/>
      <c r="AB9" s="2"/>
      <c r="AC9" s="2"/>
      <c r="AD9" s="2">
        <v>1</v>
      </c>
      <c r="AE9" s="2"/>
      <c r="AF9" s="2"/>
      <c r="AG9" s="2"/>
      <c r="AH9" s="10"/>
      <c r="AI9" s="10"/>
      <c r="AJ9" s="2"/>
      <c r="AK9" s="2"/>
      <c r="AL9" s="2"/>
      <c r="AM9" s="2"/>
      <c r="AN9" s="6"/>
      <c r="AO9" s="6"/>
    </row>
    <row r="10" spans="1:46" x14ac:dyDescent="0.25">
      <c r="A10" s="20"/>
      <c r="B10" s="2"/>
      <c r="C10" s="2"/>
      <c r="D10" s="6"/>
      <c r="E10" s="6"/>
      <c r="F10" s="6"/>
      <c r="G10" s="6"/>
      <c r="H10" s="2"/>
      <c r="I10" s="2"/>
      <c r="J10" s="2"/>
      <c r="K10" s="2"/>
      <c r="L10" s="2">
        <f>'[2]102-60'!$B$4</f>
        <v>70</v>
      </c>
      <c r="M10" s="41">
        <f>'[1]102-14'!$L$3</f>
        <v>45</v>
      </c>
      <c r="N10" s="2"/>
      <c r="O10" s="2"/>
      <c r="P10" s="2"/>
      <c r="Q10" s="2"/>
      <c r="R10" s="2"/>
      <c r="S10" s="2"/>
      <c r="T10" s="2"/>
      <c r="U10" s="2"/>
      <c r="V10" s="2"/>
      <c r="W10" s="2">
        <f t="shared" ref="W10:W12" si="1">L10*M10</f>
        <v>3150</v>
      </c>
      <c r="X10" s="2"/>
      <c r="Y10" s="2"/>
      <c r="Z10" s="2"/>
      <c r="AA10" s="2"/>
      <c r="AB10" s="2"/>
      <c r="AC10" s="2"/>
      <c r="AD10" s="2">
        <v>2</v>
      </c>
      <c r="AE10" s="2"/>
      <c r="AF10" s="2"/>
      <c r="AG10" s="2"/>
      <c r="AH10" s="10"/>
      <c r="AI10" s="10"/>
      <c r="AJ10" s="2"/>
      <c r="AK10" s="2"/>
      <c r="AL10" s="2"/>
      <c r="AM10" s="2"/>
      <c r="AN10" s="6"/>
      <c r="AO10" s="6"/>
    </row>
    <row r="11" spans="1:46" x14ac:dyDescent="0.25">
      <c r="A11" s="20"/>
      <c r="B11" s="2"/>
      <c r="C11" s="2"/>
      <c r="D11" s="6"/>
      <c r="E11" s="6"/>
      <c r="F11" s="6"/>
      <c r="G11" s="6"/>
      <c r="H11" s="2"/>
      <c r="I11" s="2"/>
      <c r="J11" s="2"/>
      <c r="K11" s="2"/>
      <c r="L11" s="2">
        <f>'[2]102-60'!$B$5</f>
        <v>95</v>
      </c>
      <c r="M11" s="41">
        <f>'[1]102-14'!$L$4</f>
        <v>45</v>
      </c>
      <c r="N11" s="2"/>
      <c r="O11" s="2"/>
      <c r="P11" s="2"/>
      <c r="Q11" s="2"/>
      <c r="R11" s="2"/>
      <c r="S11" s="2"/>
      <c r="T11" s="2"/>
      <c r="U11" s="2"/>
      <c r="V11" s="2"/>
      <c r="W11" s="2">
        <f t="shared" si="1"/>
        <v>4275</v>
      </c>
      <c r="X11" s="2"/>
      <c r="Y11" s="2"/>
      <c r="Z11" s="2"/>
      <c r="AA11" s="2"/>
      <c r="AB11" s="2"/>
      <c r="AC11" s="2"/>
      <c r="AD11" s="2">
        <v>3</v>
      </c>
      <c r="AE11" s="2"/>
      <c r="AF11" s="2"/>
      <c r="AG11" s="2"/>
      <c r="AH11" s="10"/>
      <c r="AI11" s="10"/>
      <c r="AJ11" s="2"/>
      <c r="AK11" s="2"/>
      <c r="AL11" s="2"/>
      <c r="AM11" s="2"/>
      <c r="AN11" s="6"/>
      <c r="AO11" s="6"/>
    </row>
    <row r="12" spans="1:46" x14ac:dyDescent="0.25">
      <c r="A12" s="20"/>
      <c r="B12" s="2"/>
      <c r="C12" s="2"/>
      <c r="D12" s="6"/>
      <c r="E12" s="6"/>
      <c r="F12" s="6"/>
      <c r="G12" s="6"/>
      <c r="H12" s="2"/>
      <c r="I12" s="2"/>
      <c r="J12" s="2"/>
      <c r="K12" s="2"/>
      <c r="L12" s="2">
        <f>'[2]102-60'!$B$6</f>
        <v>70</v>
      </c>
      <c r="M12" s="41">
        <f>'[1]102-14'!$L$5</f>
        <v>90</v>
      </c>
      <c r="N12" s="2"/>
      <c r="O12" s="2"/>
      <c r="P12" s="2"/>
      <c r="Q12" s="2"/>
      <c r="R12" s="2"/>
      <c r="S12" s="2"/>
      <c r="T12" s="2"/>
      <c r="U12" s="2"/>
      <c r="V12" s="2"/>
      <c r="W12" s="2">
        <f t="shared" si="1"/>
        <v>6300</v>
      </c>
      <c r="X12" s="2"/>
      <c r="Y12" s="2"/>
      <c r="Z12" s="2"/>
      <c r="AA12" s="2"/>
      <c r="AB12" s="2"/>
      <c r="AC12" s="2"/>
      <c r="AD12" s="2">
        <v>4</v>
      </c>
      <c r="AE12" s="2"/>
      <c r="AF12" s="2"/>
      <c r="AG12" s="2"/>
      <c r="AH12" s="10"/>
      <c r="AI12" s="10"/>
      <c r="AJ12" s="2"/>
      <c r="AK12" s="2"/>
      <c r="AL12" s="2"/>
      <c r="AM12" s="2"/>
      <c r="AN12" s="6"/>
      <c r="AO12" s="6"/>
    </row>
    <row r="13" spans="1:46" x14ac:dyDescent="0.25">
      <c r="A13" s="20"/>
      <c r="B13" s="38" t="s">
        <v>74</v>
      </c>
      <c r="C13" s="38"/>
      <c r="D13" s="39" t="s">
        <v>75</v>
      </c>
      <c r="E13" s="6"/>
      <c r="F13" s="6"/>
      <c r="G13" s="6"/>
      <c r="H13" s="2" t="s">
        <v>76</v>
      </c>
      <c r="I13" s="2"/>
      <c r="J13" s="2"/>
      <c r="K13" s="2"/>
      <c r="L13" s="2"/>
      <c r="M13" s="23"/>
      <c r="N13" s="2"/>
      <c r="O13" s="2"/>
      <c r="P13" s="2"/>
      <c r="Q13" s="2"/>
      <c r="R13" s="2"/>
      <c r="S13" s="2"/>
      <c r="T13" s="2"/>
      <c r="U13" s="2"/>
      <c r="V13" s="2"/>
      <c r="W13" s="16">
        <v>306</v>
      </c>
      <c r="X13" s="2"/>
      <c r="Y13" s="46">
        <f>W13</f>
        <v>306</v>
      </c>
      <c r="Z13" s="2"/>
      <c r="AA13" s="2"/>
      <c r="AB13" s="2"/>
      <c r="AC13" s="2"/>
      <c r="AD13" s="2">
        <v>1</v>
      </c>
      <c r="AE13" s="2"/>
      <c r="AF13" s="2"/>
      <c r="AG13" s="2"/>
      <c r="AH13" s="10"/>
      <c r="AI13" s="10"/>
      <c r="AJ13" s="2"/>
      <c r="AK13" s="2"/>
      <c r="AL13" s="2"/>
      <c r="AM13" s="2"/>
      <c r="AN13" s="6"/>
      <c r="AO13" s="6"/>
    </row>
    <row r="14" spans="1:46" x14ac:dyDescent="0.25">
      <c r="A14" s="20"/>
      <c r="B14" s="38" t="s">
        <v>81</v>
      </c>
      <c r="C14" s="38"/>
      <c r="D14" s="39" t="s">
        <v>82</v>
      </c>
      <c r="E14" s="6"/>
      <c r="F14" s="6"/>
      <c r="G14" s="6"/>
      <c r="H14" s="2" t="s">
        <v>76</v>
      </c>
      <c r="I14" s="2"/>
      <c r="J14" s="2"/>
      <c r="K14" s="2"/>
      <c r="L14" s="2"/>
      <c r="M14" s="23"/>
      <c r="N14" s="2"/>
      <c r="O14" s="2"/>
      <c r="P14" s="2"/>
      <c r="Q14" s="2"/>
      <c r="R14" s="2"/>
      <c r="S14" s="2"/>
      <c r="T14" s="2"/>
      <c r="U14" s="2"/>
      <c r="V14" s="2"/>
      <c r="W14" s="16">
        <v>193</v>
      </c>
      <c r="X14" s="2"/>
      <c r="Y14" s="46">
        <f>W14</f>
        <v>193</v>
      </c>
      <c r="Z14" s="2"/>
      <c r="AA14" s="2"/>
      <c r="AB14" s="2"/>
      <c r="AC14" s="2"/>
      <c r="AD14" s="2">
        <v>1</v>
      </c>
      <c r="AE14" s="2"/>
      <c r="AF14" s="2"/>
      <c r="AG14" s="2"/>
      <c r="AH14" s="10"/>
      <c r="AI14" s="10"/>
      <c r="AJ14" s="2"/>
      <c r="AK14" s="2"/>
      <c r="AL14" s="2"/>
      <c r="AM14" s="2"/>
      <c r="AN14" s="6"/>
      <c r="AO14" s="6"/>
    </row>
    <row r="15" spans="1:46" x14ac:dyDescent="0.25">
      <c r="A15" s="20"/>
      <c r="B15" s="38" t="s">
        <v>51</v>
      </c>
      <c r="C15" s="38"/>
      <c r="D15" s="39" t="s">
        <v>53</v>
      </c>
      <c r="E15" s="6"/>
      <c r="F15" s="6"/>
      <c r="G15" s="6"/>
      <c r="H15" s="2" t="s">
        <v>50</v>
      </c>
      <c r="I15" s="2"/>
      <c r="J15" s="2"/>
      <c r="K15" s="2"/>
      <c r="L15" s="17">
        <f>'[2]102-74-1'!$B$6</f>
        <v>532</v>
      </c>
      <c r="M15" s="41">
        <f>'[2]102-14'!$L$2</f>
        <v>90</v>
      </c>
      <c r="N15" s="2"/>
      <c r="O15" s="2"/>
      <c r="P15" s="2"/>
      <c r="Q15" s="2"/>
      <c r="R15" s="2"/>
      <c r="S15" s="2"/>
      <c r="T15" s="2"/>
      <c r="U15" s="2"/>
      <c r="V15" s="2"/>
      <c r="W15" s="17">
        <f>L15*M15</f>
        <v>47880</v>
      </c>
      <c r="X15" s="2"/>
      <c r="Y15" s="47">
        <f>SUM(W15:W18)</f>
        <v>109260</v>
      </c>
      <c r="Z15" s="2"/>
      <c r="AA15" s="2"/>
      <c r="AB15" s="2"/>
      <c r="AC15" s="2"/>
      <c r="AD15" s="2">
        <v>1</v>
      </c>
      <c r="AE15" s="2"/>
      <c r="AF15" s="2"/>
      <c r="AG15" s="2"/>
      <c r="AH15" s="10"/>
      <c r="AI15" s="10"/>
      <c r="AJ15" s="2"/>
      <c r="AK15" s="2"/>
      <c r="AL15" s="2"/>
      <c r="AM15" s="2"/>
      <c r="AN15" s="6"/>
      <c r="AO15" s="6"/>
      <c r="AR15" s="26"/>
      <c r="AS15" s="26"/>
      <c r="AT15" s="26"/>
    </row>
    <row r="16" spans="1:46" x14ac:dyDescent="0.25">
      <c r="A16" s="20"/>
      <c r="B16" s="2"/>
      <c r="C16" s="2"/>
      <c r="D16" s="6"/>
      <c r="E16" s="6"/>
      <c r="F16" s="6"/>
      <c r="G16" s="6"/>
      <c r="H16" s="2"/>
      <c r="I16" s="2"/>
      <c r="J16" s="2"/>
      <c r="K16" s="2"/>
      <c r="L16" s="17">
        <f>'[2]102-74-1'!$B$11</f>
        <v>386</v>
      </c>
      <c r="M16" s="41">
        <f>'[2]102-14'!$L$3</f>
        <v>45</v>
      </c>
      <c r="N16" s="2"/>
      <c r="O16" s="2"/>
      <c r="P16" s="2"/>
      <c r="Q16" s="2"/>
      <c r="R16" s="2"/>
      <c r="S16" s="2"/>
      <c r="T16" s="2"/>
      <c r="U16" s="2"/>
      <c r="V16" s="2"/>
      <c r="W16" s="2">
        <f t="shared" ref="W16:W18" si="2">L16*M16</f>
        <v>17370</v>
      </c>
      <c r="X16" s="2"/>
      <c r="Y16" s="2"/>
      <c r="Z16" s="2"/>
      <c r="AA16" s="2"/>
      <c r="AB16" s="2"/>
      <c r="AC16" s="2"/>
      <c r="AD16" s="2">
        <v>2</v>
      </c>
      <c r="AE16" s="2"/>
      <c r="AF16" s="2"/>
      <c r="AG16" s="2"/>
      <c r="AH16" s="10"/>
      <c r="AI16" s="10"/>
      <c r="AJ16" s="2"/>
      <c r="AK16" s="2"/>
      <c r="AL16" s="2"/>
      <c r="AM16" s="2"/>
      <c r="AN16" s="6"/>
      <c r="AO16" s="6"/>
      <c r="AR16" s="26"/>
      <c r="AS16" s="26"/>
      <c r="AT16" s="26"/>
    </row>
    <row r="17" spans="1:46" x14ac:dyDescent="0.25">
      <c r="A17" s="20"/>
      <c r="B17" s="2"/>
      <c r="C17" s="2"/>
      <c r="D17" s="6"/>
      <c r="E17" s="6"/>
      <c r="F17" s="6"/>
      <c r="G17" s="6"/>
      <c r="H17" s="2"/>
      <c r="I17" s="2"/>
      <c r="J17" s="2"/>
      <c r="K17" s="2"/>
      <c r="L17" s="17">
        <f>'[2]102-74-1'!$B$16</f>
        <v>206</v>
      </c>
      <c r="M17" s="41">
        <f>'[2]102-14'!$L$4</f>
        <v>45</v>
      </c>
      <c r="N17" s="2"/>
      <c r="O17" s="2"/>
      <c r="P17" s="2"/>
      <c r="Q17" s="2"/>
      <c r="R17" s="2"/>
      <c r="S17" s="2"/>
      <c r="T17" s="2"/>
      <c r="U17" s="2"/>
      <c r="V17" s="2"/>
      <c r="W17" s="2">
        <f t="shared" si="2"/>
        <v>9270</v>
      </c>
      <c r="X17" s="2"/>
      <c r="Y17" s="2"/>
      <c r="Z17" s="2"/>
      <c r="AA17" s="2"/>
      <c r="AB17" s="2"/>
      <c r="AC17" s="2"/>
      <c r="AD17" s="2">
        <v>3</v>
      </c>
      <c r="AE17" s="2"/>
      <c r="AF17" s="2"/>
      <c r="AG17" s="2"/>
      <c r="AH17" s="10"/>
      <c r="AI17" s="10"/>
      <c r="AJ17" s="2"/>
      <c r="AK17" s="2"/>
      <c r="AL17" s="2"/>
      <c r="AM17" s="2"/>
      <c r="AN17" s="6"/>
      <c r="AO17" s="6"/>
      <c r="AR17" s="26"/>
      <c r="AS17" s="26"/>
      <c r="AT17" s="26"/>
    </row>
    <row r="18" spans="1:46" x14ac:dyDescent="0.25">
      <c r="A18" s="20"/>
      <c r="B18" s="2"/>
      <c r="C18" s="2"/>
      <c r="D18" s="6"/>
      <c r="E18" s="6"/>
      <c r="F18" s="6"/>
      <c r="G18" s="6"/>
      <c r="H18" s="2"/>
      <c r="I18" s="2"/>
      <c r="J18" s="2"/>
      <c r="K18" s="2"/>
      <c r="L18" s="17">
        <f>'[2]102-74-1'!$B$21</f>
        <v>386</v>
      </c>
      <c r="M18" s="41">
        <f>'[2]102-14'!$L$5</f>
        <v>90</v>
      </c>
      <c r="N18" s="2"/>
      <c r="O18" s="2"/>
      <c r="P18" s="2"/>
      <c r="Q18" s="2"/>
      <c r="R18" s="2"/>
      <c r="S18" s="2"/>
      <c r="T18" s="2"/>
      <c r="U18" s="2"/>
      <c r="V18" s="2"/>
      <c r="W18" s="2">
        <f t="shared" si="2"/>
        <v>34740</v>
      </c>
      <c r="X18" s="2"/>
      <c r="Y18" s="2"/>
      <c r="Z18" s="2"/>
      <c r="AA18" s="2"/>
      <c r="AB18" s="2"/>
      <c r="AC18" s="2"/>
      <c r="AD18" s="2">
        <v>4</v>
      </c>
      <c r="AE18" s="2"/>
      <c r="AF18" s="2"/>
      <c r="AG18" s="2"/>
      <c r="AH18" s="10"/>
      <c r="AI18" s="10"/>
      <c r="AJ18" s="2"/>
      <c r="AK18" s="2"/>
      <c r="AL18" s="2"/>
      <c r="AM18" s="2"/>
      <c r="AN18" s="6"/>
      <c r="AO18" s="6"/>
      <c r="AR18" s="26"/>
      <c r="AS18" s="26"/>
      <c r="AT18" s="26"/>
    </row>
    <row r="19" spans="1:46" x14ac:dyDescent="0.25">
      <c r="A19" s="20"/>
      <c r="B19" s="38" t="s">
        <v>58</v>
      </c>
      <c r="C19" s="38"/>
      <c r="D19" s="39" t="s">
        <v>59</v>
      </c>
      <c r="E19" s="6"/>
      <c r="F19" s="6"/>
      <c r="G19" s="6"/>
      <c r="H19" s="2" t="s">
        <v>50</v>
      </c>
      <c r="I19" s="2"/>
      <c r="J19" s="2"/>
      <c r="K19" s="2"/>
      <c r="L19" s="2">
        <f>'[2]102-76'!$B$3</f>
        <v>4</v>
      </c>
      <c r="M19" s="41">
        <f>'[2]102-14'!$L$2</f>
        <v>90</v>
      </c>
      <c r="N19" s="2"/>
      <c r="O19" s="2"/>
      <c r="P19" s="2"/>
      <c r="Q19" s="2"/>
      <c r="R19" s="2"/>
      <c r="S19" s="2"/>
      <c r="T19" s="2"/>
      <c r="U19" s="2"/>
      <c r="V19" s="2"/>
      <c r="W19" s="2">
        <f>L19*M19</f>
        <v>360</v>
      </c>
      <c r="X19" s="2"/>
      <c r="Y19" s="47">
        <f>SUM(W19:W22)</f>
        <v>1125</v>
      </c>
      <c r="Z19" s="2"/>
      <c r="AA19" s="2"/>
      <c r="AB19" s="2"/>
      <c r="AC19" s="2"/>
      <c r="AD19" s="2">
        <v>1</v>
      </c>
      <c r="AE19" s="2"/>
      <c r="AF19" s="2"/>
      <c r="AG19" s="2"/>
      <c r="AH19" s="10"/>
      <c r="AI19" s="10"/>
      <c r="AJ19" s="2"/>
      <c r="AK19" s="2"/>
      <c r="AL19" s="2"/>
      <c r="AM19" s="2"/>
      <c r="AN19" s="6"/>
      <c r="AO19" s="6"/>
    </row>
    <row r="20" spans="1:46" x14ac:dyDescent="0.25">
      <c r="A20" s="20"/>
      <c r="B20" s="2"/>
      <c r="C20" s="2"/>
      <c r="D20" s="6"/>
      <c r="E20" s="6"/>
      <c r="F20" s="6"/>
      <c r="G20" s="6"/>
      <c r="H20" s="2"/>
      <c r="I20" s="2"/>
      <c r="J20" s="2"/>
      <c r="K20" s="2"/>
      <c r="L20" s="2">
        <f>'[2]102-76'!$B$4</f>
        <v>6</v>
      </c>
      <c r="M20" s="41">
        <f>'[2]102-14'!$L$3</f>
        <v>45</v>
      </c>
      <c r="N20" s="2"/>
      <c r="O20" s="2"/>
      <c r="P20" s="2"/>
      <c r="Q20" s="2"/>
      <c r="R20" s="2"/>
      <c r="S20" s="2"/>
      <c r="T20" s="2"/>
      <c r="U20" s="2"/>
      <c r="V20" s="2"/>
      <c r="W20" s="2">
        <f t="shared" ref="W20:W22" si="3">L20*M20</f>
        <v>270</v>
      </c>
      <c r="X20" s="2"/>
      <c r="Y20" s="2"/>
      <c r="Z20" s="2"/>
      <c r="AA20" s="2"/>
      <c r="AB20" s="2"/>
      <c r="AC20" s="2"/>
      <c r="AD20" s="2">
        <v>2</v>
      </c>
      <c r="AE20" s="2"/>
      <c r="AF20" s="2"/>
      <c r="AG20" s="2"/>
      <c r="AH20" s="10"/>
      <c r="AI20" s="10"/>
      <c r="AJ20" s="2"/>
      <c r="AK20" s="2"/>
      <c r="AL20" s="2"/>
      <c r="AM20" s="2"/>
      <c r="AN20" s="6"/>
      <c r="AO20" s="6"/>
    </row>
    <row r="21" spans="1:46" x14ac:dyDescent="0.25">
      <c r="A21" s="20"/>
      <c r="B21" s="2"/>
      <c r="C21" s="2"/>
      <c r="D21" s="6"/>
      <c r="E21" s="6"/>
      <c r="F21" s="6"/>
      <c r="G21" s="6"/>
      <c r="H21" s="2"/>
      <c r="I21" s="2"/>
      <c r="J21" s="2"/>
      <c r="K21" s="2"/>
      <c r="L21" s="2">
        <f>'[2]102-76'!$B$5</f>
        <v>3</v>
      </c>
      <c r="M21" s="41">
        <f>'[2]102-14'!$L$4</f>
        <v>45</v>
      </c>
      <c r="N21" s="2"/>
      <c r="O21" s="2"/>
      <c r="P21" s="2"/>
      <c r="Q21" s="2"/>
      <c r="R21" s="2"/>
      <c r="S21" s="2"/>
      <c r="T21" s="2"/>
      <c r="U21" s="2"/>
      <c r="V21" s="2"/>
      <c r="W21" s="2">
        <f t="shared" si="3"/>
        <v>135</v>
      </c>
      <c r="X21" s="2"/>
      <c r="Y21" s="2"/>
      <c r="Z21" s="2"/>
      <c r="AA21" s="2"/>
      <c r="AB21" s="2"/>
      <c r="AC21" s="2"/>
      <c r="AD21" s="2">
        <v>3</v>
      </c>
      <c r="AE21" s="2"/>
      <c r="AF21" s="2"/>
      <c r="AG21" s="2"/>
      <c r="AH21" s="10"/>
      <c r="AI21" s="10"/>
      <c r="AJ21" s="2"/>
      <c r="AK21" s="2"/>
      <c r="AL21" s="2"/>
      <c r="AM21" s="2"/>
      <c r="AN21" s="6"/>
      <c r="AO21" s="6"/>
    </row>
    <row r="22" spans="1:46" x14ac:dyDescent="0.25">
      <c r="A22" s="20"/>
      <c r="B22" s="2"/>
      <c r="C22" s="2"/>
      <c r="D22" s="6"/>
      <c r="E22" s="6"/>
      <c r="F22" s="6"/>
      <c r="G22" s="6"/>
      <c r="H22" s="2"/>
      <c r="I22" s="2"/>
      <c r="J22" s="2"/>
      <c r="K22" s="2"/>
      <c r="L22" s="2">
        <f>'[2]102-76'!$B$6</f>
        <v>4</v>
      </c>
      <c r="M22" s="41">
        <f>'[2]102-14'!$L$5</f>
        <v>90</v>
      </c>
      <c r="N22" s="2"/>
      <c r="O22" s="2"/>
      <c r="P22" s="2"/>
      <c r="Q22" s="2"/>
      <c r="R22" s="2"/>
      <c r="S22" s="2"/>
      <c r="T22" s="2"/>
      <c r="U22" s="2"/>
      <c r="V22" s="2"/>
      <c r="W22" s="2">
        <f t="shared" si="3"/>
        <v>360</v>
      </c>
      <c r="X22" s="2"/>
      <c r="Y22" s="2"/>
      <c r="Z22" s="2"/>
      <c r="AA22" s="2"/>
      <c r="AB22" s="2"/>
      <c r="AC22" s="2"/>
      <c r="AD22" s="2">
        <v>4</v>
      </c>
      <c r="AE22" s="2"/>
      <c r="AF22" s="2"/>
      <c r="AG22" s="2"/>
      <c r="AH22" s="10"/>
      <c r="AI22" s="10"/>
      <c r="AJ22" s="2"/>
      <c r="AK22" s="2"/>
      <c r="AL22" s="2"/>
      <c r="AM22" s="2"/>
      <c r="AN22" s="6"/>
      <c r="AO22" s="6"/>
    </row>
    <row r="23" spans="1:46" x14ac:dyDescent="0.25">
      <c r="A23" s="20"/>
      <c r="B23" s="38" t="s">
        <v>54</v>
      </c>
      <c r="C23" s="38"/>
      <c r="D23" s="39" t="s">
        <v>56</v>
      </c>
      <c r="E23" s="6"/>
      <c r="F23" s="6"/>
      <c r="G23" s="6"/>
      <c r="H23" s="2" t="s">
        <v>50</v>
      </c>
      <c r="I23" s="2"/>
      <c r="J23" s="2"/>
      <c r="K23" s="2"/>
      <c r="L23" s="2">
        <f>2</f>
        <v>2</v>
      </c>
      <c r="M23" s="2">
        <f>'[2]102-14'!$L$2+14</f>
        <v>104</v>
      </c>
      <c r="N23" s="2"/>
      <c r="O23" s="2"/>
      <c r="P23" s="2"/>
      <c r="Q23" s="2"/>
      <c r="R23" s="2"/>
      <c r="S23" s="2"/>
      <c r="T23" s="2"/>
      <c r="U23" s="2"/>
      <c r="V23" s="2"/>
      <c r="W23" s="2">
        <f>L23*M23</f>
        <v>208</v>
      </c>
      <c r="X23" s="2"/>
      <c r="Y23" s="47">
        <f>SUM(W23:W26)</f>
        <v>658</v>
      </c>
      <c r="Z23" s="2"/>
      <c r="AA23" s="2"/>
      <c r="AB23" s="2"/>
      <c r="AC23" s="2"/>
      <c r="AD23" s="2">
        <v>1</v>
      </c>
      <c r="AE23" s="2"/>
      <c r="AF23" s="2"/>
      <c r="AG23" s="2"/>
      <c r="AH23" s="10"/>
      <c r="AI23" s="10"/>
      <c r="AJ23" s="2"/>
      <c r="AK23" s="2"/>
      <c r="AL23" s="2"/>
      <c r="AM23" s="2"/>
      <c r="AN23" s="6" t="s">
        <v>70</v>
      </c>
      <c r="AO23" s="6"/>
    </row>
    <row r="24" spans="1:46" x14ac:dyDescent="0.25">
      <c r="A24" s="20"/>
      <c r="B24" s="2"/>
      <c r="C24" s="2"/>
      <c r="D24" s="6"/>
      <c r="E24" s="6"/>
      <c r="F24" s="6"/>
      <c r="G24" s="6"/>
      <c r="H24" s="2"/>
      <c r="I24" s="2"/>
      <c r="J24" s="2"/>
      <c r="K24" s="2"/>
      <c r="L24" s="2">
        <v>2</v>
      </c>
      <c r="M24" s="2">
        <f>'[2]102-14'!$L$3</f>
        <v>45</v>
      </c>
      <c r="N24" s="2"/>
      <c r="O24" s="2"/>
      <c r="P24" s="2"/>
      <c r="Q24" s="2"/>
      <c r="R24" s="2"/>
      <c r="S24" s="2"/>
      <c r="T24" s="2"/>
      <c r="U24" s="2"/>
      <c r="V24" s="2"/>
      <c r="W24" s="2">
        <f t="shared" ref="W24:W26" si="4">L24*M24</f>
        <v>90</v>
      </c>
      <c r="X24" s="2"/>
      <c r="Y24" s="2"/>
      <c r="Z24" s="2"/>
      <c r="AA24" s="2"/>
      <c r="AB24" s="2"/>
      <c r="AC24" s="2"/>
      <c r="AD24" s="2">
        <v>2</v>
      </c>
      <c r="AE24" s="2"/>
      <c r="AF24" s="2"/>
      <c r="AG24" s="2"/>
      <c r="AH24" s="10"/>
      <c r="AI24" s="10"/>
      <c r="AJ24" s="2"/>
      <c r="AK24" s="2"/>
      <c r="AL24" s="2"/>
      <c r="AM24" s="2"/>
      <c r="AN24" s="6"/>
      <c r="AO24" s="6"/>
    </row>
    <row r="25" spans="1:46" x14ac:dyDescent="0.25">
      <c r="A25" s="20"/>
      <c r="B25" s="2"/>
      <c r="C25" s="2"/>
      <c r="D25" s="6"/>
      <c r="E25" s="6"/>
      <c r="F25" s="6"/>
      <c r="G25" s="6"/>
      <c r="H25" s="2"/>
      <c r="I25" s="2"/>
      <c r="J25" s="2"/>
      <c r="K25" s="2"/>
      <c r="L25" s="2">
        <f>2+2</f>
        <v>4</v>
      </c>
      <c r="M25" s="2">
        <f>'[2]102-14'!$L$4</f>
        <v>45</v>
      </c>
      <c r="N25" s="2"/>
      <c r="O25" s="2"/>
      <c r="P25" s="2"/>
      <c r="Q25" s="2"/>
      <c r="R25" s="2"/>
      <c r="S25" s="2"/>
      <c r="T25" s="2"/>
      <c r="U25" s="2"/>
      <c r="V25" s="2"/>
      <c r="W25" s="2">
        <f t="shared" si="4"/>
        <v>180</v>
      </c>
      <c r="X25" s="2"/>
      <c r="Y25" s="2"/>
      <c r="Z25" s="2"/>
      <c r="AA25" s="2"/>
      <c r="AB25" s="2"/>
      <c r="AC25" s="2"/>
      <c r="AD25" s="2">
        <v>3</v>
      </c>
      <c r="AE25" s="2"/>
      <c r="AF25" s="2"/>
      <c r="AG25" s="2"/>
      <c r="AH25" s="10"/>
      <c r="AI25" s="10"/>
      <c r="AJ25" s="2"/>
      <c r="AK25" s="2"/>
      <c r="AL25" s="2"/>
      <c r="AM25" s="2"/>
      <c r="AN25" s="6"/>
      <c r="AO25" s="6"/>
    </row>
    <row r="26" spans="1:46" x14ac:dyDescent="0.25">
      <c r="A26" s="20"/>
      <c r="B26" s="2"/>
      <c r="C26" s="2"/>
      <c r="D26" s="6"/>
      <c r="E26" s="6"/>
      <c r="F26" s="6"/>
      <c r="G26" s="6"/>
      <c r="H26" s="2"/>
      <c r="I26" s="2"/>
      <c r="J26" s="2"/>
      <c r="K26" s="2"/>
      <c r="L26" s="2">
        <v>2</v>
      </c>
      <c r="M26" s="2">
        <f>'[2]102-14'!$L$5</f>
        <v>90</v>
      </c>
      <c r="N26" s="2"/>
      <c r="O26" s="2"/>
      <c r="P26" s="2"/>
      <c r="Q26" s="2"/>
      <c r="R26" s="2"/>
      <c r="S26" s="2"/>
      <c r="T26" s="2"/>
      <c r="U26" s="2"/>
      <c r="V26" s="2"/>
      <c r="W26" s="2">
        <f t="shared" si="4"/>
        <v>180</v>
      </c>
      <c r="X26" s="2"/>
      <c r="Y26" s="2"/>
      <c r="Z26" s="2"/>
      <c r="AA26" s="2"/>
      <c r="AB26" s="2"/>
      <c r="AC26" s="2"/>
      <c r="AD26" s="2">
        <v>4</v>
      </c>
      <c r="AE26" s="2"/>
      <c r="AF26" s="2"/>
      <c r="AG26" s="2"/>
      <c r="AH26" s="10"/>
      <c r="AI26" s="10"/>
      <c r="AJ26" s="2"/>
      <c r="AK26" s="2"/>
      <c r="AL26" s="2"/>
      <c r="AM26" s="2"/>
      <c r="AN26" s="6"/>
      <c r="AO26" s="6"/>
    </row>
    <row r="27" spans="1:46" x14ac:dyDescent="0.25">
      <c r="A27" s="20"/>
      <c r="B27" s="38" t="s">
        <v>57</v>
      </c>
      <c r="C27" s="38"/>
      <c r="D27" s="39" t="s">
        <v>55</v>
      </c>
      <c r="E27" s="6"/>
      <c r="F27" s="6"/>
      <c r="G27" s="6"/>
      <c r="H27" s="2" t="s">
        <v>50</v>
      </c>
      <c r="I27" s="2"/>
      <c r="J27" s="2"/>
      <c r="K27" s="2"/>
      <c r="L27" s="2">
        <f>'[2]102-115'!$B$3</f>
        <v>10</v>
      </c>
      <c r="M27" s="41">
        <f>'[2]102-14'!$L$2</f>
        <v>90</v>
      </c>
      <c r="N27" s="2"/>
      <c r="O27" s="2"/>
      <c r="P27" s="2"/>
      <c r="Q27" s="2"/>
      <c r="R27" s="2"/>
      <c r="S27" s="2"/>
      <c r="T27" s="2"/>
      <c r="U27" s="2"/>
      <c r="V27" s="2"/>
      <c r="W27" s="2">
        <f>L27*M27</f>
        <v>900</v>
      </c>
      <c r="X27" s="2"/>
      <c r="Y27" s="47">
        <f>SUM(W27:W30)</f>
        <v>4095</v>
      </c>
      <c r="Z27" s="2"/>
      <c r="AA27" s="2"/>
      <c r="AB27" s="2"/>
      <c r="AC27" s="2"/>
      <c r="AD27" s="2">
        <v>1</v>
      </c>
      <c r="AE27" s="2"/>
      <c r="AF27" s="2"/>
      <c r="AG27" s="2"/>
      <c r="AH27" s="10"/>
      <c r="AI27" s="10"/>
      <c r="AJ27" s="2"/>
      <c r="AK27" s="2"/>
      <c r="AL27" s="2"/>
      <c r="AM27" s="2"/>
      <c r="AN27" s="6"/>
      <c r="AO27" s="6"/>
    </row>
    <row r="28" spans="1:46" x14ac:dyDescent="0.25">
      <c r="A28" s="20"/>
      <c r="B28" s="2"/>
      <c r="C28" s="2"/>
      <c r="D28" s="6"/>
      <c r="E28" s="6"/>
      <c r="F28" s="6"/>
      <c r="G28" s="6"/>
      <c r="H28" s="2"/>
      <c r="I28" s="2"/>
      <c r="J28" s="2"/>
      <c r="K28" s="2"/>
      <c r="L28" s="2">
        <f>'[2]102-115'!$B$4</f>
        <v>20</v>
      </c>
      <c r="M28" s="41">
        <f>'[2]102-14'!$L$3</f>
        <v>45</v>
      </c>
      <c r="N28" s="2"/>
      <c r="O28" s="2"/>
      <c r="P28" s="2"/>
      <c r="Q28" s="2"/>
      <c r="R28" s="2"/>
      <c r="S28" s="2"/>
      <c r="T28" s="2"/>
      <c r="U28" s="2"/>
      <c r="V28" s="2"/>
      <c r="W28" s="2">
        <f t="shared" ref="W28:W30" si="5">L28*M28</f>
        <v>900</v>
      </c>
      <c r="X28" s="2"/>
      <c r="Y28" s="2"/>
      <c r="Z28" s="2"/>
      <c r="AA28" s="2"/>
      <c r="AB28" s="2"/>
      <c r="AC28" s="2"/>
      <c r="AD28" s="2">
        <v>2</v>
      </c>
      <c r="AE28" s="2"/>
      <c r="AF28" s="2"/>
      <c r="AG28" s="2"/>
      <c r="AH28" s="10"/>
      <c r="AI28" s="10"/>
      <c r="AJ28" s="2"/>
      <c r="AK28" s="2"/>
      <c r="AL28" s="2"/>
      <c r="AM28" s="2"/>
      <c r="AN28" s="6"/>
      <c r="AO28" s="6"/>
    </row>
    <row r="29" spans="1:46" x14ac:dyDescent="0.25">
      <c r="A29" s="20"/>
      <c r="B29" s="2"/>
      <c r="C29" s="2"/>
      <c r="D29" s="6"/>
      <c r="E29" s="6"/>
      <c r="F29" s="6"/>
      <c r="G29" s="6"/>
      <c r="H29" s="2"/>
      <c r="I29" s="2"/>
      <c r="J29" s="2"/>
      <c r="K29" s="2"/>
      <c r="L29" s="2">
        <f>'[2]102-115'!$B$5</f>
        <v>11</v>
      </c>
      <c r="M29" s="41">
        <f>'[2]102-14'!$L$4</f>
        <v>45</v>
      </c>
      <c r="N29" s="2"/>
      <c r="O29" s="2"/>
      <c r="P29" s="2"/>
      <c r="Q29" s="2"/>
      <c r="R29" s="2"/>
      <c r="S29" s="2"/>
      <c r="T29" s="2"/>
      <c r="U29" s="2"/>
      <c r="V29" s="2"/>
      <c r="W29" s="2">
        <f t="shared" si="5"/>
        <v>495</v>
      </c>
      <c r="X29" s="2"/>
      <c r="Y29" s="2"/>
      <c r="Z29" s="2"/>
      <c r="AA29" s="2"/>
      <c r="AB29" s="2"/>
      <c r="AC29" s="2"/>
      <c r="AD29" s="2">
        <v>3</v>
      </c>
      <c r="AE29" s="2"/>
      <c r="AF29" s="2"/>
      <c r="AG29" s="2"/>
      <c r="AH29" s="10"/>
      <c r="AI29" s="10"/>
      <c r="AJ29" s="2"/>
      <c r="AK29" s="2"/>
      <c r="AL29" s="2"/>
      <c r="AM29" s="2"/>
      <c r="AN29" s="6"/>
      <c r="AO29" s="6"/>
    </row>
    <row r="30" spans="1:46" x14ac:dyDescent="0.25">
      <c r="A30" s="20"/>
      <c r="B30" s="2"/>
      <c r="C30" s="2"/>
      <c r="D30" s="6"/>
      <c r="E30" s="6"/>
      <c r="F30" s="6"/>
      <c r="G30" s="6"/>
      <c r="H30" s="2"/>
      <c r="I30" s="2"/>
      <c r="J30" s="2"/>
      <c r="K30" s="2"/>
      <c r="L30" s="2">
        <f>'[2]102-115'!$B$6</f>
        <v>20</v>
      </c>
      <c r="M30" s="41">
        <f>'[2]102-14'!$L$5</f>
        <v>90</v>
      </c>
      <c r="N30" s="2"/>
      <c r="O30" s="2"/>
      <c r="P30" s="2"/>
      <c r="Q30" s="2"/>
      <c r="R30" s="2"/>
      <c r="S30" s="2"/>
      <c r="T30" s="2"/>
      <c r="U30" s="2"/>
      <c r="V30" s="2"/>
      <c r="W30" s="2">
        <f t="shared" si="5"/>
        <v>1800</v>
      </c>
      <c r="X30" s="2"/>
      <c r="Y30" s="2"/>
      <c r="Z30" s="2"/>
      <c r="AA30" s="2"/>
      <c r="AB30" s="2"/>
      <c r="AC30" s="2"/>
      <c r="AD30" s="2">
        <v>4</v>
      </c>
      <c r="AE30" s="2"/>
      <c r="AF30" s="2"/>
      <c r="AG30" s="2"/>
      <c r="AH30" s="10"/>
      <c r="AI30" s="10"/>
      <c r="AJ30" s="2"/>
      <c r="AK30" s="2"/>
      <c r="AL30" s="2"/>
      <c r="AM30" s="2"/>
      <c r="AN30" s="6"/>
      <c r="AO30" s="6"/>
    </row>
    <row r="31" spans="1:46" x14ac:dyDescent="0.25">
      <c r="A31" s="20"/>
      <c r="B31" s="38" t="s">
        <v>62</v>
      </c>
      <c r="C31" s="38"/>
      <c r="D31" s="39" t="s">
        <v>63</v>
      </c>
      <c r="E31" s="6"/>
      <c r="F31" s="6"/>
      <c r="G31" s="6"/>
      <c r="H31" s="2" t="s">
        <v>68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f>'[2]706-1-3'!$F$6</f>
        <v>930</v>
      </c>
      <c r="X31" s="2"/>
      <c r="Y31" s="47">
        <f>SUM(W31,W32,W33,W34)</f>
        <v>5481</v>
      </c>
      <c r="Z31" s="2"/>
      <c r="AA31" s="2"/>
      <c r="AB31" s="2"/>
      <c r="AC31" s="2"/>
      <c r="AD31" s="2">
        <v>1</v>
      </c>
      <c r="AE31" s="2"/>
      <c r="AF31" s="2"/>
      <c r="AG31" s="2"/>
      <c r="AH31" s="10"/>
      <c r="AI31" s="10"/>
      <c r="AJ31" s="2"/>
      <c r="AK31" s="2"/>
      <c r="AL31" s="2"/>
      <c r="AM31" s="2"/>
      <c r="AN31" s="6"/>
      <c r="AO31" s="6"/>
    </row>
    <row r="32" spans="1:46" x14ac:dyDescent="0.25">
      <c r="A32" s="20"/>
      <c r="B32" s="2"/>
      <c r="C32" s="2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f>'[2]706-1-3'!$F$11</f>
        <v>1715</v>
      </c>
      <c r="X32" s="2"/>
      <c r="Y32" s="2"/>
      <c r="Z32" s="2"/>
      <c r="AA32" s="2"/>
      <c r="AB32" s="2"/>
      <c r="AC32" s="2"/>
      <c r="AD32" s="2">
        <v>2</v>
      </c>
      <c r="AE32" s="2"/>
      <c r="AF32" s="2"/>
      <c r="AG32" s="2"/>
      <c r="AH32" s="10"/>
      <c r="AI32" s="10"/>
      <c r="AJ32" s="2"/>
      <c r="AK32" s="2"/>
      <c r="AL32" s="2"/>
      <c r="AM32" s="2"/>
      <c r="AN32" s="6"/>
      <c r="AO32" s="6"/>
    </row>
    <row r="33" spans="1:41" x14ac:dyDescent="0.25">
      <c r="A33" s="20"/>
      <c r="B33" s="2"/>
      <c r="C33" s="2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>
        <f>'[2]706-1-3'!$F$16</f>
        <v>1041</v>
      </c>
      <c r="X33" s="2"/>
      <c r="Y33" s="2"/>
      <c r="Z33" s="2"/>
      <c r="AA33" s="2"/>
      <c r="AB33" s="2"/>
      <c r="AC33" s="2"/>
      <c r="AD33" s="2">
        <v>3</v>
      </c>
      <c r="AE33" s="2"/>
      <c r="AF33" s="2"/>
      <c r="AG33" s="2"/>
      <c r="AH33" s="10"/>
      <c r="AI33" s="10"/>
      <c r="AJ33" s="2"/>
      <c r="AK33" s="2"/>
      <c r="AL33" s="2"/>
      <c r="AM33" s="2"/>
      <c r="AN33" s="6"/>
      <c r="AO33" s="6"/>
    </row>
    <row r="34" spans="1:41" x14ac:dyDescent="0.25">
      <c r="A34" s="20"/>
      <c r="B34" s="2"/>
      <c r="C34" s="2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>
        <f>'[2]706-1-3'!$F$21</f>
        <v>1795</v>
      </c>
      <c r="X34" s="2"/>
      <c r="Y34" s="2"/>
      <c r="Z34" s="2"/>
      <c r="AA34" s="2"/>
      <c r="AB34" s="2"/>
      <c r="AC34" s="2"/>
      <c r="AD34" s="2">
        <v>4</v>
      </c>
      <c r="AE34" s="2"/>
      <c r="AF34" s="2"/>
      <c r="AG34" s="2"/>
      <c r="AH34" s="10"/>
      <c r="AI34" s="10"/>
      <c r="AJ34" s="2"/>
      <c r="AK34" s="2"/>
      <c r="AL34" s="2"/>
      <c r="AM34" s="2"/>
      <c r="AN34" s="6"/>
      <c r="AO34" s="6"/>
    </row>
    <row r="35" spans="1:41" x14ac:dyDescent="0.25">
      <c r="A35" s="20"/>
      <c r="B35" s="38" t="s">
        <v>65</v>
      </c>
      <c r="C35" s="38"/>
      <c r="D35" s="39" t="s">
        <v>64</v>
      </c>
      <c r="E35" s="6"/>
      <c r="F35" s="6"/>
      <c r="G35" s="6"/>
      <c r="H35" s="2" t="s">
        <v>69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2">
        <f>'[2]710-11-101'!$B$6</f>
        <v>1.6642999999999999</v>
      </c>
      <c r="X35" s="2"/>
      <c r="Y35" s="47">
        <f>SUM(W35:W38)</f>
        <v>7.8387000000000011</v>
      </c>
      <c r="Z35" s="2"/>
      <c r="AA35" s="2"/>
      <c r="AB35" s="2"/>
      <c r="AC35" s="2"/>
      <c r="AD35" s="2">
        <v>1</v>
      </c>
      <c r="AE35" s="2"/>
      <c r="AF35" s="2"/>
      <c r="AG35" s="2"/>
      <c r="AH35" s="10"/>
      <c r="AI35" s="10"/>
      <c r="AJ35" s="2"/>
      <c r="AK35" s="2"/>
      <c r="AL35" s="2"/>
      <c r="AM35" s="2"/>
      <c r="AN35" s="6"/>
      <c r="AO35" s="6"/>
    </row>
    <row r="36" spans="1:41" x14ac:dyDescent="0.25">
      <c r="A36" s="20"/>
      <c r="B36" s="2"/>
      <c r="C36" s="2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2">
        <f>'[2]710-11-101'!$B$11</f>
        <v>1.8848</v>
      </c>
      <c r="X36" s="2"/>
      <c r="Y36" s="2"/>
      <c r="Z36" s="2"/>
      <c r="AA36" s="2"/>
      <c r="AB36" s="2"/>
      <c r="AC36" s="2"/>
      <c r="AD36" s="2">
        <v>2</v>
      </c>
      <c r="AE36" s="2"/>
      <c r="AF36" s="2"/>
      <c r="AG36" s="2"/>
      <c r="AH36" s="10"/>
      <c r="AI36" s="10"/>
      <c r="AJ36" s="2"/>
      <c r="AK36" s="2"/>
      <c r="AL36" s="2"/>
      <c r="AM36" s="2"/>
      <c r="AN36" s="6"/>
      <c r="AO36" s="6"/>
    </row>
    <row r="37" spans="1:41" x14ac:dyDescent="0.25">
      <c r="A37" s="20"/>
      <c r="B37" s="2"/>
      <c r="C37" s="2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2">
        <f>'[2]710-11-101'!$B$16</f>
        <v>2.0976000000000004</v>
      </c>
      <c r="X37" s="2"/>
      <c r="Y37" s="2"/>
      <c r="Z37" s="2"/>
      <c r="AA37" s="2"/>
      <c r="AB37" s="2"/>
      <c r="AC37" s="2"/>
      <c r="AD37" s="2">
        <v>3</v>
      </c>
      <c r="AE37" s="2"/>
      <c r="AF37" s="2"/>
      <c r="AG37" s="2"/>
      <c r="AH37" s="10"/>
      <c r="AI37" s="10"/>
      <c r="AJ37" s="2"/>
      <c r="AK37" s="2"/>
      <c r="AL37" s="2"/>
      <c r="AM37" s="2"/>
      <c r="AN37" s="6"/>
      <c r="AO37" s="6"/>
    </row>
    <row r="38" spans="1:41" x14ac:dyDescent="0.25">
      <c r="A38" s="20"/>
      <c r="B38" s="2"/>
      <c r="C38" s="2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2">
        <f>'[2]710-11-101'!$B$21</f>
        <v>2.1920000000000002</v>
      </c>
      <c r="X38" s="2"/>
      <c r="Y38" s="2"/>
      <c r="Z38" s="2"/>
      <c r="AA38" s="2"/>
      <c r="AB38" s="2"/>
      <c r="AC38" s="2"/>
      <c r="AD38" s="2">
        <v>4</v>
      </c>
      <c r="AE38" s="2"/>
      <c r="AF38" s="2"/>
      <c r="AG38" s="2"/>
      <c r="AH38" s="10"/>
      <c r="AI38" s="10"/>
      <c r="AJ38" s="2"/>
      <c r="AK38" s="2"/>
      <c r="AL38" s="2"/>
      <c r="AM38" s="2"/>
      <c r="AN38" s="6"/>
      <c r="AO38" s="6"/>
    </row>
    <row r="39" spans="1:41" x14ac:dyDescent="0.25">
      <c r="A39" s="20"/>
      <c r="B39" s="42" t="s">
        <v>72</v>
      </c>
      <c r="C39" s="41"/>
      <c r="D39" s="43" t="s">
        <v>77</v>
      </c>
      <c r="E39" s="24"/>
      <c r="F39" s="24"/>
      <c r="G39" s="24"/>
      <c r="H39" s="2" t="s">
        <v>69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2">
        <f>'[2]710-11-131'!$B$6</f>
        <v>0.19719999999999999</v>
      </c>
      <c r="X39" s="23"/>
      <c r="Y39" s="47">
        <f>SUM(W39:W39)</f>
        <v>0.19719999999999999</v>
      </c>
      <c r="Z39" s="23"/>
      <c r="AA39" s="23"/>
      <c r="AB39" s="23"/>
      <c r="AC39" s="23"/>
      <c r="AD39" s="2">
        <v>1</v>
      </c>
      <c r="AE39" s="23"/>
      <c r="AF39" s="23"/>
      <c r="AG39" s="23"/>
      <c r="AH39" s="25"/>
      <c r="AI39" s="25"/>
      <c r="AJ39" s="23"/>
      <c r="AK39" s="23"/>
      <c r="AL39" s="23"/>
      <c r="AM39" s="23"/>
      <c r="AN39" s="24"/>
      <c r="AO39" s="24"/>
    </row>
    <row r="40" spans="1:41" x14ac:dyDescent="0.25">
      <c r="A40" s="20"/>
      <c r="B40" s="42" t="s">
        <v>73</v>
      </c>
      <c r="C40" s="41"/>
      <c r="D40" s="44" t="s">
        <v>78</v>
      </c>
      <c r="E40" s="23"/>
      <c r="F40" s="23"/>
      <c r="G40" s="23"/>
      <c r="H40" s="2" t="s">
        <v>69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2">
        <f>'[2]710-11-141'!$B$6</f>
        <v>6.3800000000000009E-2</v>
      </c>
      <c r="X40" s="23"/>
      <c r="Y40" s="47">
        <f>SUM(W40:W40)</f>
        <v>6.3800000000000009E-2</v>
      </c>
      <c r="Z40" s="23"/>
      <c r="AA40" s="23"/>
      <c r="AB40" s="23"/>
      <c r="AC40" s="23"/>
      <c r="AD40" s="2">
        <v>1</v>
      </c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x14ac:dyDescent="0.25">
      <c r="A41" s="20"/>
      <c r="B41" s="38" t="s">
        <v>67</v>
      </c>
      <c r="C41" s="38"/>
      <c r="D41" s="39" t="s">
        <v>66</v>
      </c>
      <c r="E41" s="6"/>
      <c r="F41" s="6"/>
      <c r="G41" s="6"/>
      <c r="H41" s="2" t="s">
        <v>69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2">
        <f>'[2]710-11-201'!$B$6</f>
        <v>0.10680000000000001</v>
      </c>
      <c r="X41" s="2"/>
      <c r="Y41" s="48">
        <f>SUM(W41:W44)</f>
        <v>1.2509999999999999</v>
      </c>
      <c r="Z41" s="2"/>
      <c r="AA41" s="2"/>
      <c r="AB41" s="2"/>
      <c r="AC41" s="2"/>
      <c r="AD41" s="2">
        <v>1</v>
      </c>
      <c r="AE41" s="2"/>
      <c r="AF41" s="2"/>
      <c r="AG41" s="2"/>
      <c r="AH41" s="10"/>
      <c r="AI41" s="10"/>
      <c r="AJ41" s="2"/>
      <c r="AK41" s="2"/>
      <c r="AL41" s="2"/>
      <c r="AM41" s="2"/>
      <c r="AN41" s="6"/>
      <c r="AO41" s="6"/>
    </row>
    <row r="42" spans="1:41" x14ac:dyDescent="0.25">
      <c r="A42" s="20"/>
      <c r="B42" s="2"/>
      <c r="C42" s="2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2">
        <f>'[2]710-11-201'!$B$11</f>
        <v>8.48E-2</v>
      </c>
      <c r="X42" s="2"/>
      <c r="Y42" s="2"/>
      <c r="Z42" s="2"/>
      <c r="AA42" s="2"/>
      <c r="AB42" s="2"/>
      <c r="AC42" s="2"/>
      <c r="AD42" s="2">
        <v>2</v>
      </c>
      <c r="AE42" s="2"/>
      <c r="AF42" s="2"/>
      <c r="AG42" s="2"/>
      <c r="AH42" s="10"/>
      <c r="AI42" s="10"/>
      <c r="AJ42" s="2"/>
      <c r="AK42" s="2"/>
      <c r="AL42" s="2"/>
      <c r="AM42" s="2"/>
      <c r="AN42" s="6"/>
      <c r="AO42" s="6"/>
    </row>
    <row r="43" spans="1:41" x14ac:dyDescent="0.25">
      <c r="A43" s="20"/>
      <c r="B43" s="2"/>
      <c r="C43" s="2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2">
        <f>'[2]710-11-201'!$B$16</f>
        <v>0.52969999999999995</v>
      </c>
      <c r="X43" s="2"/>
      <c r="Y43" s="2"/>
      <c r="Z43" s="2"/>
      <c r="AA43" s="2"/>
      <c r="AB43" s="2"/>
      <c r="AC43" s="2"/>
      <c r="AD43" s="2">
        <v>3</v>
      </c>
      <c r="AE43" s="2"/>
      <c r="AF43" s="2"/>
      <c r="AG43" s="2"/>
      <c r="AH43" s="10"/>
      <c r="AI43" s="10"/>
      <c r="AJ43" s="2"/>
      <c r="AK43" s="2"/>
      <c r="AL43" s="2"/>
      <c r="AM43" s="2"/>
      <c r="AN43" s="6"/>
      <c r="AO43" s="6"/>
    </row>
    <row r="44" spans="1:41" x14ac:dyDescent="0.25">
      <c r="A44" s="20"/>
      <c r="B44" s="2"/>
      <c r="C44" s="2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2">
        <f>'[2]710-11-201'!$B$21</f>
        <v>0.52969999999999995</v>
      </c>
      <c r="X44" s="2"/>
      <c r="Y44" s="2"/>
      <c r="Z44" s="2"/>
      <c r="AA44" s="2"/>
      <c r="AB44" s="2"/>
      <c r="AC44" s="2"/>
      <c r="AD44" s="2">
        <v>4</v>
      </c>
      <c r="AE44" s="2"/>
      <c r="AF44" s="2"/>
      <c r="AG44" s="2"/>
      <c r="AH44" s="10"/>
      <c r="AI44" s="10"/>
      <c r="AJ44" s="2"/>
      <c r="AK44" s="2"/>
      <c r="AL44" s="2"/>
      <c r="AM44" s="2"/>
      <c r="AN44" s="6"/>
      <c r="AO44" s="6"/>
    </row>
    <row r="45" spans="1:41" x14ac:dyDescent="0.25">
      <c r="A45" s="20"/>
      <c r="B45" s="2"/>
      <c r="C45" s="2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0"/>
      <c r="AI45" s="10"/>
      <c r="AJ45" s="2"/>
      <c r="AK45" s="2"/>
      <c r="AL45" s="2"/>
      <c r="AM45" s="2"/>
      <c r="AN45" s="6"/>
      <c r="AO45" s="6"/>
    </row>
    <row r="46" spans="1:41" x14ac:dyDescent="0.25">
      <c r="A46" s="20"/>
      <c r="B46" s="2"/>
      <c r="C46" s="2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0"/>
      <c r="AI46" s="10"/>
      <c r="AJ46" s="2"/>
      <c r="AK46" s="2"/>
      <c r="AL46" s="2"/>
      <c r="AM46" s="2"/>
      <c r="AN46" s="6"/>
      <c r="AO46" s="6"/>
    </row>
    <row r="47" spans="1:41" x14ac:dyDescent="0.25">
      <c r="A47" s="20"/>
      <c r="B47" s="2"/>
      <c r="C47" s="2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0"/>
      <c r="AI47" s="10"/>
      <c r="AJ47" s="2"/>
      <c r="AK47" s="2"/>
      <c r="AL47" s="2"/>
      <c r="AM47" s="2"/>
      <c r="AN47" s="6"/>
      <c r="AO47" s="6"/>
    </row>
    <row r="48" spans="1:41" x14ac:dyDescent="0.25">
      <c r="A48" s="20"/>
      <c r="B48" s="2"/>
      <c r="C48" s="2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10"/>
      <c r="AI48" s="10"/>
      <c r="AJ48" s="2"/>
      <c r="AK48" s="2"/>
      <c r="AL48" s="2"/>
      <c r="AM48" s="2"/>
      <c r="AN48" s="6"/>
      <c r="AO48" s="6"/>
    </row>
    <row r="49" spans="1:41" x14ac:dyDescent="0.25">
      <c r="A49" s="20"/>
      <c r="B49" s="2"/>
      <c r="C49" s="2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0"/>
      <c r="AI49" s="10"/>
      <c r="AJ49" s="2"/>
      <c r="AK49" s="2"/>
      <c r="AL49" s="2"/>
      <c r="AM49" s="2"/>
      <c r="AN49" s="6"/>
      <c r="AO49" s="6"/>
    </row>
    <row r="50" spans="1:41" x14ac:dyDescent="0.25">
      <c r="A50" s="20"/>
      <c r="B50" s="2"/>
      <c r="C50" s="2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0"/>
      <c r="AI50" s="10"/>
      <c r="AJ50" s="2"/>
      <c r="AK50" s="2"/>
      <c r="AL50" s="2"/>
      <c r="AM50" s="2"/>
      <c r="AN50" s="6"/>
      <c r="AO50" s="6"/>
    </row>
    <row r="51" spans="1:41" x14ac:dyDescent="0.25">
      <c r="A51" s="20"/>
      <c r="B51" s="2"/>
      <c r="C51" s="2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0"/>
      <c r="AI51" s="10"/>
      <c r="AJ51" s="2"/>
      <c r="AK51" s="2"/>
      <c r="AL51" s="2"/>
      <c r="AM51" s="2"/>
      <c r="AN51" s="6"/>
      <c r="AO51" s="6"/>
    </row>
    <row r="52" spans="1:41" x14ac:dyDescent="0.25">
      <c r="A52" s="20"/>
      <c r="B52" s="2"/>
      <c r="C52" s="2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0"/>
      <c r="AI52" s="10"/>
      <c r="AJ52" s="2"/>
      <c r="AK52" s="2"/>
      <c r="AL52" s="2"/>
      <c r="AM52" s="2"/>
      <c r="AN52" s="6"/>
      <c r="AO52" s="6"/>
    </row>
    <row r="53" spans="1:41" x14ac:dyDescent="0.25">
      <c r="A53" s="20"/>
      <c r="B53" s="2"/>
      <c r="C53" s="2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0"/>
      <c r="AI53" s="10"/>
      <c r="AJ53" s="2"/>
      <c r="AK53" s="2"/>
      <c r="AL53" s="2"/>
      <c r="AM53" s="2"/>
      <c r="AN53" s="6"/>
      <c r="AO53" s="6"/>
    </row>
    <row r="54" spans="1:41" x14ac:dyDescent="0.25">
      <c r="A54" s="20"/>
      <c r="B54" s="2"/>
      <c r="C54" s="2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0"/>
      <c r="AI54" s="10"/>
      <c r="AJ54" s="2"/>
      <c r="AK54" s="2"/>
      <c r="AL54" s="2"/>
      <c r="AM54" s="2"/>
      <c r="AN54" s="6"/>
      <c r="AO54" s="6"/>
    </row>
    <row r="55" spans="1:41" hidden="1" x14ac:dyDescent="0.25">
      <c r="A55" s="20"/>
      <c r="B55" s="2"/>
      <c r="C55" s="2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0"/>
      <c r="AI55" s="10"/>
      <c r="AJ55" s="2"/>
      <c r="AK55" s="2"/>
      <c r="AL55" s="2"/>
      <c r="AM55" s="2"/>
      <c r="AN55" s="6"/>
      <c r="AO55" s="6"/>
    </row>
    <row r="56" spans="1:41" hidden="1" x14ac:dyDescent="0.25">
      <c r="A56" s="20"/>
      <c r="B56" s="2"/>
      <c r="C56" s="2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0"/>
      <c r="AI56" s="10"/>
      <c r="AJ56" s="2"/>
      <c r="AK56" s="2"/>
      <c r="AL56" s="2"/>
      <c r="AM56" s="2"/>
      <c r="AN56" s="6"/>
      <c r="AO56" s="6"/>
    </row>
    <row r="57" spans="1:41" hidden="1" x14ac:dyDescent="0.25">
      <c r="A57" s="20"/>
      <c r="B57" s="2"/>
      <c r="C57" s="2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10"/>
      <c r="AI57" s="10"/>
      <c r="AJ57" s="2"/>
      <c r="AK57" s="2"/>
      <c r="AL57" s="2"/>
      <c r="AM57" s="2"/>
      <c r="AN57" s="6"/>
      <c r="AO57" s="6"/>
    </row>
    <row r="58" spans="1:41" hidden="1" x14ac:dyDescent="0.25">
      <c r="A58" s="20"/>
      <c r="B58" s="2"/>
      <c r="C58" s="2"/>
      <c r="D58" s="6"/>
      <c r="E58" s="6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10"/>
      <c r="AI58" s="10"/>
      <c r="AJ58" s="2"/>
      <c r="AK58" s="2"/>
      <c r="AL58" s="2"/>
      <c r="AM58" s="2"/>
      <c r="AN58" s="6"/>
      <c r="AO58" s="6"/>
    </row>
    <row r="59" spans="1:41" hidden="1" x14ac:dyDescent="0.25">
      <c r="A59" s="20"/>
      <c r="B59" s="2"/>
      <c r="C59" s="2"/>
      <c r="D59" s="6"/>
      <c r="E59" s="6"/>
      <c r="F59" s="6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10"/>
      <c r="AI59" s="10"/>
      <c r="AJ59" s="2"/>
      <c r="AK59" s="2"/>
      <c r="AL59" s="2"/>
      <c r="AM59" s="2"/>
      <c r="AN59" s="6"/>
      <c r="AO59" s="6"/>
    </row>
    <row r="60" spans="1:41" hidden="1" x14ac:dyDescent="0.25">
      <c r="A60" s="20"/>
      <c r="B60" s="2"/>
      <c r="C60" s="2"/>
      <c r="D60" s="6"/>
      <c r="E60" s="6"/>
      <c r="F60" s="6"/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10"/>
      <c r="AI60" s="10"/>
      <c r="AJ60" s="2"/>
      <c r="AK60" s="2"/>
      <c r="AL60" s="2"/>
      <c r="AM60" s="2"/>
      <c r="AN60" s="6"/>
      <c r="AO60" s="6"/>
    </row>
    <row r="61" spans="1:41" hidden="1" x14ac:dyDescent="0.25">
      <c r="A61" s="20"/>
      <c r="B61" s="2"/>
      <c r="C61" s="2"/>
      <c r="D61" s="6"/>
      <c r="E61" s="6"/>
      <c r="F61" s="6"/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10"/>
      <c r="AI61" s="10"/>
      <c r="AJ61" s="2"/>
      <c r="AK61" s="2"/>
      <c r="AL61" s="2"/>
      <c r="AM61" s="2"/>
      <c r="AN61" s="6"/>
      <c r="AO61" s="6"/>
    </row>
    <row r="62" spans="1:41" hidden="1" x14ac:dyDescent="0.25">
      <c r="A62" s="20"/>
      <c r="B62" s="2"/>
      <c r="C62" s="2"/>
      <c r="D62" s="6"/>
      <c r="E62" s="6"/>
      <c r="F62" s="6"/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10"/>
      <c r="AI62" s="10"/>
      <c r="AJ62" s="2"/>
      <c r="AK62" s="2"/>
      <c r="AL62" s="2"/>
      <c r="AM62" s="2"/>
      <c r="AN62" s="6"/>
      <c r="AO62" s="6"/>
    </row>
    <row r="63" spans="1:41" hidden="1" x14ac:dyDescent="0.25">
      <c r="A63" s="20"/>
      <c r="B63" s="2"/>
      <c r="C63" s="2"/>
      <c r="D63" s="6"/>
      <c r="E63" s="6"/>
      <c r="F63" s="6"/>
      <c r="G63" s="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10"/>
      <c r="AI63" s="10"/>
      <c r="AJ63" s="2"/>
      <c r="AK63" s="2"/>
      <c r="AL63" s="2"/>
      <c r="AM63" s="2"/>
      <c r="AN63" s="6"/>
      <c r="AO63" s="6"/>
    </row>
    <row r="64" spans="1:41" hidden="1" x14ac:dyDescent="0.25">
      <c r="A64" s="20"/>
      <c r="B64" s="2"/>
      <c r="C64" s="2"/>
      <c r="D64" s="6"/>
      <c r="E64" s="6"/>
      <c r="F64" s="6"/>
      <c r="G64" s="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10"/>
      <c r="AI64" s="10"/>
      <c r="AJ64" s="2"/>
      <c r="AK64" s="2"/>
      <c r="AL64" s="2"/>
      <c r="AM64" s="2"/>
      <c r="AN64" s="6"/>
      <c r="AO64" s="6"/>
    </row>
    <row r="65" spans="1:41" hidden="1" x14ac:dyDescent="0.25">
      <c r="A65" s="20"/>
      <c r="B65" s="2"/>
      <c r="C65" s="2"/>
      <c r="D65" s="6"/>
      <c r="E65" s="6"/>
      <c r="F65" s="6"/>
      <c r="G65" s="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10"/>
      <c r="AI65" s="10"/>
      <c r="AJ65" s="2"/>
      <c r="AK65" s="2"/>
      <c r="AL65" s="2"/>
      <c r="AM65" s="2"/>
      <c r="AN65" s="6"/>
      <c r="AO65" s="6"/>
    </row>
    <row r="66" spans="1:41" hidden="1" x14ac:dyDescent="0.25">
      <c r="A66" s="20"/>
      <c r="B66" s="2"/>
      <c r="C66" s="2"/>
      <c r="D66" s="6"/>
      <c r="E66" s="6"/>
      <c r="F66" s="6"/>
      <c r="G66" s="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10"/>
      <c r="AI66" s="10"/>
      <c r="AJ66" s="2"/>
      <c r="AK66" s="2"/>
      <c r="AL66" s="2"/>
      <c r="AM66" s="2"/>
      <c r="AN66" s="6"/>
      <c r="AO66" s="6"/>
    </row>
    <row r="67" spans="1:41" hidden="1" x14ac:dyDescent="0.25">
      <c r="A67" s="20"/>
      <c r="B67" s="2"/>
      <c r="C67" s="2"/>
      <c r="D67" s="6"/>
      <c r="E67" s="6"/>
      <c r="F67" s="6"/>
      <c r="G67" s="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10"/>
      <c r="AI67" s="10"/>
      <c r="AJ67" s="2"/>
      <c r="AK67" s="2"/>
      <c r="AL67" s="2"/>
      <c r="AM67" s="2"/>
      <c r="AN67" s="6"/>
      <c r="AO67" s="6"/>
    </row>
    <row r="68" spans="1:41" hidden="1" x14ac:dyDescent="0.25">
      <c r="A68" s="20"/>
      <c r="B68" s="2"/>
      <c r="C68" s="2"/>
      <c r="D68" s="6"/>
      <c r="E68" s="6"/>
      <c r="F68" s="6"/>
      <c r="G68" s="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10"/>
      <c r="AI68" s="10"/>
      <c r="AJ68" s="2"/>
      <c r="AK68" s="2"/>
      <c r="AL68" s="2"/>
      <c r="AM68" s="2"/>
      <c r="AN68" s="6"/>
      <c r="AO68" s="6"/>
    </row>
    <row r="69" spans="1:41" hidden="1" x14ac:dyDescent="0.25">
      <c r="A69" s="20"/>
      <c r="B69" s="2"/>
      <c r="C69" s="2"/>
      <c r="D69" s="6"/>
      <c r="E69" s="6"/>
      <c r="F69" s="6"/>
      <c r="G69" s="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10"/>
      <c r="AI69" s="10"/>
      <c r="AJ69" s="2"/>
      <c r="AK69" s="2"/>
      <c r="AL69" s="2"/>
      <c r="AM69" s="2"/>
      <c r="AN69" s="6"/>
      <c r="AO69" s="6"/>
    </row>
    <row r="70" spans="1:41" hidden="1" x14ac:dyDescent="0.25">
      <c r="A70" s="20"/>
      <c r="B70" s="2"/>
      <c r="C70" s="2"/>
      <c r="D70" s="6"/>
      <c r="E70" s="6"/>
      <c r="F70" s="6"/>
      <c r="G70" s="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10"/>
      <c r="AI70" s="10"/>
      <c r="AJ70" s="2"/>
      <c r="AK70" s="2"/>
      <c r="AL70" s="2"/>
      <c r="AM70" s="2"/>
      <c r="AN70" s="6"/>
      <c r="AO70" s="6"/>
    </row>
    <row r="71" spans="1:41" hidden="1" x14ac:dyDescent="0.25">
      <c r="A71" s="20"/>
      <c r="B71" s="2"/>
      <c r="C71" s="2"/>
      <c r="D71" s="6"/>
      <c r="E71" s="6"/>
      <c r="F71" s="6"/>
      <c r="G71" s="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10"/>
      <c r="AI71" s="10"/>
      <c r="AJ71" s="2"/>
      <c r="AK71" s="2"/>
      <c r="AL71" s="2"/>
      <c r="AM71" s="2"/>
      <c r="AN71" s="6"/>
      <c r="AO71" s="6"/>
    </row>
    <row r="72" spans="1:41" ht="12" thickBot="1" x14ac:dyDescent="0.3">
      <c r="A72" s="21"/>
      <c r="B72" s="2"/>
      <c r="C72" s="2"/>
      <c r="D72" s="6"/>
      <c r="E72" s="6"/>
      <c r="F72" s="6"/>
      <c r="G72" s="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0"/>
      <c r="AI72" s="10"/>
      <c r="AJ72" s="2"/>
      <c r="AK72" s="2"/>
      <c r="AL72" s="2"/>
      <c r="AM72" s="2"/>
      <c r="AN72" s="6"/>
      <c r="AO72" s="6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B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984B-BBB4-45A8-BB58-4CF6CD2FEC1E}">
  <dimension ref="A1:AS60"/>
  <sheetViews>
    <sheetView showRuler="0" view="pageBreakPreview" topLeftCell="B1" zoomScaleNormal="100" zoomScaleSheetLayoutView="100" zoomScalePageLayoutView="80" workbookViewId="0">
      <selection activeCell="B4" sqref="B4:AD19"/>
    </sheetView>
  </sheetViews>
  <sheetFormatPr defaultColWidth="9.140625" defaultRowHeight="11.25" x14ac:dyDescent="0.25"/>
  <cols>
    <col min="1" max="1" width="9.140625" style="1" hidden="1" customWidth="1"/>
    <col min="2" max="2" width="11.42578125" style="1" bestFit="1" customWidth="1"/>
    <col min="3" max="3" width="9.7109375" style="1" hidden="1" customWidth="1"/>
    <col min="4" max="4" width="80.7109375" style="1" customWidth="1"/>
    <col min="5" max="7" width="10.7109375" style="1" hidden="1" customWidth="1"/>
    <col min="8" max="8" width="8.28515625" style="1" customWidth="1"/>
    <col min="9" max="10" width="10.7109375" style="1" hidden="1" customWidth="1"/>
    <col min="11" max="11" width="13.28515625" style="1" hidden="1" customWidth="1"/>
    <col min="12" max="13" width="10.7109375" style="1" customWidth="1"/>
    <col min="14" max="14" width="10.7109375" style="1" hidden="1" customWidth="1"/>
    <col min="15" max="15" width="6.7109375" style="1" hidden="1" customWidth="1"/>
    <col min="16" max="16" width="10.7109375" style="1" hidden="1" customWidth="1"/>
    <col min="17" max="17" width="6.7109375" style="1" hidden="1" customWidth="1"/>
    <col min="18" max="20" width="10.7109375" style="1" hidden="1" customWidth="1"/>
    <col min="21" max="21" width="9.7109375" style="1" hidden="1" customWidth="1"/>
    <col min="22" max="22" width="6.7109375" style="1" hidden="1" customWidth="1"/>
    <col min="23" max="30" width="6.7109375" style="1" customWidth="1"/>
    <col min="31" max="32" width="6.7109375" style="1" hidden="1" customWidth="1"/>
    <col min="33" max="33" width="9.28515625" style="1" hidden="1" customWidth="1"/>
    <col min="34" max="36" width="12.7109375" style="1" hidden="1" customWidth="1"/>
    <col min="37" max="38" width="6.7109375" style="1" hidden="1" customWidth="1"/>
    <col min="39" max="39" width="7.7109375" style="1" hidden="1" customWidth="1"/>
    <col min="40" max="41" width="14.7109375" style="1" customWidth="1"/>
    <col min="42" max="42" width="9.140625" style="1" customWidth="1"/>
    <col min="43" max="16384" width="9.140625" style="1"/>
  </cols>
  <sheetData>
    <row r="1" spans="1:41" ht="1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6"/>
    </row>
    <row r="2" spans="1:41" s="12" customFormat="1" ht="11.25" customHeight="1" x14ac:dyDescent="0.25">
      <c r="A2" s="37" t="s">
        <v>1</v>
      </c>
      <c r="B2" s="28" t="s">
        <v>2</v>
      </c>
      <c r="C2" s="32" t="s">
        <v>3</v>
      </c>
      <c r="D2" s="28" t="s">
        <v>4</v>
      </c>
      <c r="E2" s="32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32" t="s">
        <v>11</v>
      </c>
      <c r="L2" s="32" t="s">
        <v>12</v>
      </c>
      <c r="M2" s="28" t="s">
        <v>13</v>
      </c>
      <c r="N2" s="28" t="s">
        <v>14</v>
      </c>
      <c r="O2" s="32" t="s">
        <v>15</v>
      </c>
      <c r="P2" s="32" t="s">
        <v>16</v>
      </c>
      <c r="Q2" s="32" t="s">
        <v>17</v>
      </c>
      <c r="R2" s="32" t="s">
        <v>18</v>
      </c>
      <c r="S2" s="32" t="s">
        <v>19</v>
      </c>
      <c r="T2" s="32" t="s">
        <v>20</v>
      </c>
      <c r="U2" s="28" t="s">
        <v>21</v>
      </c>
      <c r="V2" s="28" t="s">
        <v>22</v>
      </c>
      <c r="W2" s="28"/>
      <c r="X2" s="28"/>
      <c r="Y2" s="28" t="s">
        <v>23</v>
      </c>
      <c r="Z2" s="28"/>
      <c r="AA2" s="28" t="s">
        <v>24</v>
      </c>
      <c r="AB2" s="28"/>
      <c r="AC2" s="28"/>
      <c r="AD2" s="28" t="s">
        <v>25</v>
      </c>
      <c r="AE2" s="28"/>
      <c r="AF2" s="28"/>
      <c r="AG2" s="28"/>
      <c r="AH2" s="28"/>
      <c r="AI2" s="28"/>
      <c r="AJ2" s="28"/>
      <c r="AK2" s="28"/>
      <c r="AL2" s="28"/>
      <c r="AM2" s="28"/>
      <c r="AN2" s="28" t="s">
        <v>26</v>
      </c>
      <c r="AO2" s="31" t="s">
        <v>27</v>
      </c>
    </row>
    <row r="3" spans="1:41" s="12" customFormat="1" ht="33.75" x14ac:dyDescent="0.25">
      <c r="A3" s="37"/>
      <c r="B3" s="28"/>
      <c r="C3" s="33"/>
      <c r="D3" s="28"/>
      <c r="E3" s="33"/>
      <c r="F3" s="28"/>
      <c r="G3" s="28"/>
      <c r="H3" s="28"/>
      <c r="I3" s="28"/>
      <c r="J3" s="28"/>
      <c r="K3" s="33"/>
      <c r="L3" s="33"/>
      <c r="M3" s="28"/>
      <c r="N3" s="28"/>
      <c r="O3" s="33"/>
      <c r="P3" s="33"/>
      <c r="Q3" s="33"/>
      <c r="R3" s="33"/>
      <c r="S3" s="33"/>
      <c r="T3" s="33"/>
      <c r="U3" s="28"/>
      <c r="V3" s="13" t="s">
        <v>28</v>
      </c>
      <c r="W3" s="13" t="s">
        <v>29</v>
      </c>
      <c r="X3" s="13" t="s">
        <v>30</v>
      </c>
      <c r="Y3" s="13" t="s">
        <v>29</v>
      </c>
      <c r="Z3" s="13" t="s">
        <v>30</v>
      </c>
      <c r="AA3" s="13" t="s">
        <v>31</v>
      </c>
      <c r="AB3" s="13" t="s">
        <v>29</v>
      </c>
      <c r="AC3" s="13" t="s">
        <v>30</v>
      </c>
      <c r="AD3" s="13" t="s">
        <v>32</v>
      </c>
      <c r="AE3" s="13" t="s">
        <v>33</v>
      </c>
      <c r="AF3" s="13" t="s">
        <v>34</v>
      </c>
      <c r="AG3" s="13" t="s">
        <v>35</v>
      </c>
      <c r="AH3" s="13" t="s">
        <v>36</v>
      </c>
      <c r="AI3" s="13" t="s">
        <v>37</v>
      </c>
      <c r="AJ3" s="13" t="s">
        <v>38</v>
      </c>
      <c r="AK3" s="13" t="s">
        <v>39</v>
      </c>
      <c r="AL3" s="13" t="s">
        <v>40</v>
      </c>
      <c r="AM3" s="13" t="s">
        <v>41</v>
      </c>
      <c r="AN3" s="28"/>
      <c r="AO3" s="31"/>
    </row>
    <row r="4" spans="1:41" x14ac:dyDescent="0.25">
      <c r="A4" s="3"/>
      <c r="B4" s="2"/>
      <c r="C4" s="2"/>
      <c r="D4" s="6"/>
      <c r="E4" s="6"/>
      <c r="F4" s="6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10"/>
      <c r="AI4" s="10"/>
      <c r="AJ4" s="2"/>
      <c r="AK4" s="2"/>
      <c r="AL4" s="2"/>
      <c r="AM4" s="2"/>
      <c r="AN4" s="6"/>
      <c r="AO4" s="8"/>
    </row>
    <row r="5" spans="1:41" x14ac:dyDescent="0.25">
      <c r="A5" s="3"/>
      <c r="B5" s="2"/>
      <c r="C5" s="2"/>
      <c r="D5" s="6"/>
      <c r="E5" s="6"/>
      <c r="F5" s="6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"/>
      <c r="AI5" s="10"/>
      <c r="AJ5" s="2"/>
      <c r="AK5" s="2"/>
      <c r="AL5" s="2"/>
      <c r="AM5" s="2"/>
      <c r="AN5" s="6"/>
      <c r="AO5" s="8"/>
    </row>
    <row r="6" spans="1:41" x14ac:dyDescent="0.25">
      <c r="A6" s="3"/>
      <c r="B6" s="2"/>
      <c r="C6" s="2"/>
      <c r="D6" s="6"/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0"/>
      <c r="AI6" s="10"/>
      <c r="AJ6" s="2"/>
      <c r="AK6" s="2"/>
      <c r="AL6" s="2"/>
      <c r="AM6" s="2"/>
      <c r="AN6" s="6"/>
      <c r="AO6" s="8"/>
    </row>
    <row r="7" spans="1:41" x14ac:dyDescent="0.25">
      <c r="A7" s="3"/>
      <c r="B7" s="2"/>
      <c r="C7" s="2"/>
      <c r="D7" s="6"/>
      <c r="E7" s="6"/>
      <c r="F7" s="6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10"/>
      <c r="AI7" s="10"/>
      <c r="AJ7" s="2"/>
      <c r="AK7" s="2"/>
      <c r="AL7" s="2"/>
      <c r="AM7" s="2"/>
      <c r="AN7" s="6"/>
      <c r="AO7" s="8"/>
    </row>
    <row r="8" spans="1:41" x14ac:dyDescent="0.25">
      <c r="A8" s="3"/>
      <c r="B8" s="2"/>
      <c r="C8" s="2"/>
      <c r="D8" s="6"/>
      <c r="E8" s="6"/>
      <c r="F8" s="6"/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10"/>
      <c r="AI8" s="10"/>
      <c r="AJ8" s="2"/>
      <c r="AK8" s="2"/>
      <c r="AL8" s="2"/>
      <c r="AM8" s="2"/>
      <c r="AN8" s="6"/>
      <c r="AO8" s="8"/>
    </row>
    <row r="9" spans="1:41" x14ac:dyDescent="0.25">
      <c r="A9" s="3"/>
      <c r="B9" s="2"/>
      <c r="C9" s="2"/>
      <c r="D9" s="6"/>
      <c r="E9" s="6"/>
      <c r="F9" s="6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0"/>
      <c r="AI9" s="10"/>
      <c r="AJ9" s="2"/>
      <c r="AK9" s="2"/>
      <c r="AL9" s="2"/>
      <c r="AM9" s="2"/>
      <c r="AN9" s="6"/>
      <c r="AO9" s="8"/>
    </row>
    <row r="10" spans="1:41" x14ac:dyDescent="0.25">
      <c r="A10" s="3"/>
      <c r="B10" s="2"/>
      <c r="C10" s="2"/>
      <c r="D10" s="6"/>
      <c r="E10" s="6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0"/>
      <c r="AI10" s="10"/>
      <c r="AJ10" s="2"/>
      <c r="AK10" s="2"/>
      <c r="AL10" s="2"/>
      <c r="AM10" s="2"/>
      <c r="AN10" s="6"/>
      <c r="AO10" s="8"/>
    </row>
    <row r="11" spans="1:41" x14ac:dyDescent="0.25">
      <c r="A11" s="3"/>
      <c r="B11" s="2"/>
      <c r="C11" s="2"/>
      <c r="D11" s="6"/>
      <c r="E11" s="6"/>
      <c r="F11" s="6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0"/>
      <c r="AI11" s="10"/>
      <c r="AJ11" s="2"/>
      <c r="AK11" s="2"/>
      <c r="AL11" s="2"/>
      <c r="AM11" s="2"/>
      <c r="AN11" s="6"/>
      <c r="AO11" s="8"/>
    </row>
    <row r="12" spans="1:41" x14ac:dyDescent="0.25">
      <c r="A12" s="3"/>
      <c r="B12" s="2"/>
      <c r="C12" s="2"/>
      <c r="D12" s="6"/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0"/>
      <c r="AI12" s="10"/>
      <c r="AJ12" s="2"/>
      <c r="AK12" s="2"/>
      <c r="AL12" s="2"/>
      <c r="AM12" s="2"/>
      <c r="AN12" s="6"/>
      <c r="AO12" s="8"/>
    </row>
    <row r="13" spans="1:41" x14ac:dyDescent="0.25">
      <c r="A13" s="3"/>
      <c r="B13" s="2"/>
      <c r="C13" s="2"/>
      <c r="D13" s="6"/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0"/>
      <c r="AI13" s="10"/>
      <c r="AJ13" s="2"/>
      <c r="AK13" s="2"/>
      <c r="AL13" s="2"/>
      <c r="AM13" s="2"/>
      <c r="AN13" s="6"/>
      <c r="AO13" s="8"/>
    </row>
    <row r="14" spans="1:41" x14ac:dyDescent="0.25">
      <c r="A14" s="3"/>
      <c r="B14" s="2"/>
      <c r="C14" s="2"/>
      <c r="D14" s="6"/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0"/>
      <c r="AI14" s="10"/>
      <c r="AJ14" s="2"/>
      <c r="AK14" s="2"/>
      <c r="AL14" s="2"/>
      <c r="AM14" s="2"/>
      <c r="AN14" s="6"/>
      <c r="AO14" s="8"/>
    </row>
    <row r="15" spans="1:41" x14ac:dyDescent="0.25">
      <c r="A15" s="3"/>
      <c r="B15" s="2"/>
      <c r="C15" s="2"/>
      <c r="D15" s="6"/>
      <c r="E15" s="6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0"/>
      <c r="AI15" s="10"/>
      <c r="AJ15" s="2"/>
      <c r="AK15" s="2"/>
      <c r="AL15" s="2"/>
      <c r="AM15" s="2"/>
      <c r="AN15" s="6"/>
      <c r="AO15" s="8"/>
    </row>
    <row r="16" spans="1:41" x14ac:dyDescent="0.25">
      <c r="A16" s="3"/>
      <c r="B16" s="2"/>
      <c r="C16" s="2"/>
      <c r="D16" s="6"/>
      <c r="E16" s="6"/>
      <c r="F16" s="6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0"/>
      <c r="AI16" s="10"/>
      <c r="AJ16" s="2"/>
      <c r="AK16" s="2"/>
      <c r="AL16" s="2"/>
      <c r="AM16" s="2"/>
      <c r="AN16" s="6"/>
      <c r="AO16" s="8"/>
    </row>
    <row r="17" spans="1:45" x14ac:dyDescent="0.25">
      <c r="A17" s="3"/>
      <c r="B17" s="2"/>
      <c r="C17" s="2"/>
      <c r="D17" s="6"/>
      <c r="E17" s="6"/>
      <c r="F17" s="6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0"/>
      <c r="AI17" s="10"/>
      <c r="AJ17" s="2"/>
      <c r="AK17" s="2"/>
      <c r="AL17" s="2"/>
      <c r="AM17" s="2"/>
      <c r="AN17" s="6"/>
      <c r="AO17" s="8"/>
    </row>
    <row r="18" spans="1:45" x14ac:dyDescent="0.25">
      <c r="A18" s="3"/>
      <c r="B18" s="2"/>
      <c r="C18" s="2"/>
      <c r="D18" s="6"/>
      <c r="E18" s="6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10"/>
      <c r="AI18" s="10"/>
      <c r="AJ18" s="2"/>
      <c r="AK18" s="2"/>
      <c r="AL18" s="2"/>
      <c r="AM18" s="2"/>
      <c r="AN18" s="6"/>
      <c r="AO18" s="8"/>
    </row>
    <row r="19" spans="1:45" x14ac:dyDescent="0.25">
      <c r="A19" s="3"/>
      <c r="B19" s="2"/>
      <c r="C19" s="2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0"/>
      <c r="AI19" s="10"/>
      <c r="AJ19" s="2"/>
      <c r="AK19" s="2"/>
      <c r="AL19" s="2"/>
      <c r="AM19" s="2"/>
      <c r="AN19" s="6"/>
      <c r="AO19" s="8"/>
    </row>
    <row r="20" spans="1:45" x14ac:dyDescent="0.25">
      <c r="A20" s="3"/>
      <c r="B20" s="2"/>
      <c r="C20" s="2"/>
      <c r="D20" s="6"/>
      <c r="E20" s="6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0"/>
      <c r="AI20" s="10"/>
      <c r="AJ20" s="2"/>
      <c r="AK20" s="2"/>
      <c r="AL20" s="2"/>
      <c r="AM20" s="2"/>
      <c r="AN20" s="6"/>
      <c r="AO20" s="8"/>
    </row>
    <row r="21" spans="1:45" x14ac:dyDescent="0.25">
      <c r="A21" s="3"/>
      <c r="B21" s="2"/>
      <c r="C21" s="2"/>
      <c r="D21" s="6"/>
      <c r="E21" s="6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0"/>
      <c r="AI21" s="10"/>
      <c r="AJ21" s="2"/>
      <c r="AK21" s="2"/>
      <c r="AL21" s="2"/>
      <c r="AM21" s="2"/>
      <c r="AN21" s="6"/>
      <c r="AO21" s="8"/>
    </row>
    <row r="22" spans="1:45" x14ac:dyDescent="0.25">
      <c r="A22" s="3"/>
      <c r="B22" s="2"/>
      <c r="C22" s="2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0"/>
      <c r="AI22" s="10"/>
      <c r="AJ22" s="2"/>
      <c r="AK22" s="2"/>
      <c r="AL22" s="2"/>
      <c r="AM22" s="2"/>
      <c r="AN22" s="6"/>
      <c r="AO22" s="8"/>
      <c r="AS22" s="1" t="s">
        <v>60</v>
      </c>
    </row>
    <row r="23" spans="1:45" x14ac:dyDescent="0.25">
      <c r="A23" s="3"/>
      <c r="B23" s="2"/>
      <c r="C23" s="2"/>
      <c r="D23" s="6"/>
      <c r="E23" s="6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0"/>
      <c r="AI23" s="10"/>
      <c r="AJ23" s="2"/>
      <c r="AK23" s="2"/>
      <c r="AL23" s="2"/>
      <c r="AM23" s="2"/>
      <c r="AN23" s="6"/>
      <c r="AO23" s="8"/>
    </row>
    <row r="24" spans="1:45" x14ac:dyDescent="0.25">
      <c r="A24" s="3"/>
      <c r="B24" s="2"/>
      <c r="C24" s="2"/>
      <c r="D24" s="6"/>
      <c r="E24" s="6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0"/>
      <c r="AI24" s="10"/>
      <c r="AJ24" s="2"/>
      <c r="AK24" s="2"/>
      <c r="AL24" s="2"/>
      <c r="AM24" s="2"/>
      <c r="AN24" s="6"/>
      <c r="AO24" s="8"/>
    </row>
    <row r="25" spans="1:45" x14ac:dyDescent="0.25">
      <c r="A25" s="3"/>
      <c r="B25" s="2"/>
      <c r="C25" s="2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0"/>
      <c r="AI25" s="10"/>
      <c r="AJ25" s="2"/>
      <c r="AK25" s="2"/>
      <c r="AL25" s="2"/>
      <c r="AM25" s="2"/>
      <c r="AN25" s="6"/>
      <c r="AO25" s="8"/>
    </row>
    <row r="26" spans="1:45" x14ac:dyDescent="0.25">
      <c r="A26" s="3"/>
      <c r="B26" s="2"/>
      <c r="C26" s="2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0"/>
      <c r="AI26" s="10"/>
      <c r="AJ26" s="2"/>
      <c r="AK26" s="2"/>
      <c r="AL26" s="2"/>
      <c r="AM26" s="2"/>
      <c r="AN26" s="6"/>
      <c r="AO26" s="8"/>
    </row>
    <row r="27" spans="1:45" x14ac:dyDescent="0.25">
      <c r="A27" s="3"/>
      <c r="B27" s="2"/>
      <c r="C27" s="2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0"/>
      <c r="AI27" s="10"/>
      <c r="AJ27" s="2"/>
      <c r="AK27" s="2"/>
      <c r="AL27" s="2"/>
      <c r="AM27" s="2"/>
      <c r="AN27" s="6"/>
      <c r="AO27" s="8"/>
    </row>
    <row r="28" spans="1:45" x14ac:dyDescent="0.25">
      <c r="A28" s="3"/>
      <c r="B28" s="2"/>
      <c r="C28" s="2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0"/>
      <c r="AI28" s="10"/>
      <c r="AJ28" s="2"/>
      <c r="AK28" s="2"/>
      <c r="AL28" s="2"/>
      <c r="AM28" s="2"/>
      <c r="AN28" s="6"/>
      <c r="AO28" s="8"/>
    </row>
    <row r="29" spans="1:45" x14ac:dyDescent="0.25">
      <c r="A29" s="3"/>
      <c r="B29" s="2"/>
      <c r="C29" s="2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0"/>
      <c r="AI29" s="10"/>
      <c r="AJ29" s="2"/>
      <c r="AK29" s="2"/>
      <c r="AL29" s="2"/>
      <c r="AM29" s="2"/>
      <c r="AN29" s="6"/>
      <c r="AO29" s="8"/>
    </row>
    <row r="30" spans="1:45" x14ac:dyDescent="0.25">
      <c r="A30" s="3"/>
      <c r="B30" s="2"/>
      <c r="C30" s="2"/>
      <c r="D30" s="6"/>
      <c r="E30" s="6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0"/>
      <c r="AI30" s="10"/>
      <c r="AJ30" s="2"/>
      <c r="AK30" s="2"/>
      <c r="AL30" s="2"/>
      <c r="AM30" s="2"/>
      <c r="AN30" s="6"/>
      <c r="AO30" s="8"/>
    </row>
    <row r="31" spans="1:45" x14ac:dyDescent="0.25">
      <c r="A31" s="3"/>
      <c r="B31" s="2"/>
      <c r="C31" s="2"/>
      <c r="D31" s="6"/>
      <c r="E31" s="6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0"/>
      <c r="AI31" s="10"/>
      <c r="AJ31" s="2"/>
      <c r="AK31" s="2"/>
      <c r="AL31" s="2"/>
      <c r="AM31" s="2"/>
      <c r="AN31" s="6"/>
      <c r="AO31" s="8"/>
    </row>
    <row r="32" spans="1:45" x14ac:dyDescent="0.25">
      <c r="A32" s="3"/>
      <c r="B32" s="2"/>
      <c r="C32" s="2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0"/>
      <c r="AI32" s="10"/>
      <c r="AJ32" s="2"/>
      <c r="AK32" s="2"/>
      <c r="AL32" s="2"/>
      <c r="AM32" s="2"/>
      <c r="AN32" s="6"/>
      <c r="AO32" s="8"/>
    </row>
    <row r="33" spans="1:41" x14ac:dyDescent="0.25">
      <c r="A33" s="3"/>
      <c r="B33" s="2"/>
      <c r="C33" s="2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10"/>
      <c r="AI33" s="10"/>
      <c r="AJ33" s="2"/>
      <c r="AK33" s="2"/>
      <c r="AL33" s="2"/>
      <c r="AM33" s="2"/>
      <c r="AN33" s="6"/>
      <c r="AO33" s="8"/>
    </row>
    <row r="34" spans="1:41" x14ac:dyDescent="0.25">
      <c r="A34" s="3"/>
      <c r="B34" s="2"/>
      <c r="C34" s="2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10"/>
      <c r="AI34" s="10"/>
      <c r="AJ34" s="2"/>
      <c r="AK34" s="2"/>
      <c r="AL34" s="2"/>
      <c r="AM34" s="2"/>
      <c r="AN34" s="6"/>
      <c r="AO34" s="8"/>
    </row>
    <row r="35" spans="1:41" x14ac:dyDescent="0.25">
      <c r="A35" s="3"/>
      <c r="B35" s="2"/>
      <c r="C35" s="2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0"/>
      <c r="AI35" s="10"/>
      <c r="AJ35" s="2"/>
      <c r="AK35" s="2"/>
      <c r="AL35" s="2"/>
      <c r="AM35" s="2"/>
      <c r="AN35" s="6"/>
      <c r="AO35" s="8"/>
    </row>
    <row r="36" spans="1:41" x14ac:dyDescent="0.25">
      <c r="A36" s="3"/>
      <c r="B36" s="2"/>
      <c r="C36" s="2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0"/>
      <c r="AI36" s="10"/>
      <c r="AJ36" s="2"/>
      <c r="AK36" s="2"/>
      <c r="AL36" s="2"/>
      <c r="AM36" s="2"/>
      <c r="AN36" s="6"/>
      <c r="AO36" s="8"/>
    </row>
    <row r="37" spans="1:41" x14ac:dyDescent="0.25">
      <c r="A37" s="3"/>
      <c r="B37" s="2"/>
      <c r="C37" s="2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0"/>
      <c r="AI37" s="10"/>
      <c r="AJ37" s="2"/>
      <c r="AK37" s="2"/>
      <c r="AL37" s="2"/>
      <c r="AM37" s="2"/>
      <c r="AN37" s="6"/>
      <c r="AO37" s="8"/>
    </row>
    <row r="38" spans="1:41" x14ac:dyDescent="0.25">
      <c r="A38" s="3"/>
      <c r="B38" s="2"/>
      <c r="C38" s="2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0"/>
      <c r="AI38" s="10"/>
      <c r="AJ38" s="2"/>
      <c r="AK38" s="2"/>
      <c r="AL38" s="2"/>
      <c r="AM38" s="2"/>
      <c r="AN38" s="6"/>
      <c r="AO38" s="8"/>
    </row>
    <row r="39" spans="1:41" x14ac:dyDescent="0.25">
      <c r="A39" s="3"/>
      <c r="B39" s="2"/>
      <c r="C39" s="2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0"/>
      <c r="AI39" s="10"/>
      <c r="AJ39" s="2"/>
      <c r="AK39" s="2"/>
      <c r="AL39" s="2"/>
      <c r="AM39" s="2"/>
      <c r="AN39" s="6"/>
      <c r="AO39" s="8"/>
    </row>
    <row r="40" spans="1:41" x14ac:dyDescent="0.25">
      <c r="A40" s="3"/>
      <c r="B40" s="2"/>
      <c r="C40" s="2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0"/>
      <c r="AI40" s="10"/>
      <c r="AJ40" s="2"/>
      <c r="AK40" s="2"/>
      <c r="AL40" s="2"/>
      <c r="AM40" s="2"/>
      <c r="AN40" s="6"/>
      <c r="AO40" s="8"/>
    </row>
    <row r="41" spans="1:41" x14ac:dyDescent="0.25">
      <c r="A41" s="3"/>
      <c r="B41" s="2"/>
      <c r="C41" s="2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0"/>
      <c r="AI41" s="10"/>
      <c r="AJ41" s="2"/>
      <c r="AK41" s="2"/>
      <c r="AL41" s="2"/>
      <c r="AM41" s="2"/>
      <c r="AN41" s="6"/>
      <c r="AO41" s="8"/>
    </row>
    <row r="42" spans="1:41" x14ac:dyDescent="0.25">
      <c r="A42" s="3"/>
      <c r="B42" s="2"/>
      <c r="C42" s="2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0"/>
      <c r="AI42" s="10"/>
      <c r="AJ42" s="2"/>
      <c r="AK42" s="2"/>
      <c r="AL42" s="2"/>
      <c r="AM42" s="2"/>
      <c r="AN42" s="6"/>
      <c r="AO42" s="8"/>
    </row>
    <row r="43" spans="1:41" x14ac:dyDescent="0.25">
      <c r="A43" s="3"/>
      <c r="B43" s="2"/>
      <c r="C43" s="2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0"/>
      <c r="AI43" s="10"/>
      <c r="AJ43" s="2"/>
      <c r="AK43" s="2"/>
      <c r="AL43" s="2"/>
      <c r="AM43" s="2"/>
      <c r="AN43" s="6"/>
      <c r="AO43" s="8"/>
    </row>
    <row r="44" spans="1:41" x14ac:dyDescent="0.25">
      <c r="A44" s="3"/>
      <c r="B44" s="2"/>
      <c r="C44" s="2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0"/>
      <c r="AI44" s="10"/>
      <c r="AJ44" s="2"/>
      <c r="AK44" s="2"/>
      <c r="AL44" s="2"/>
      <c r="AM44" s="2"/>
      <c r="AN44" s="6"/>
      <c r="AO44" s="8"/>
    </row>
    <row r="45" spans="1:41" x14ac:dyDescent="0.25">
      <c r="A45" s="3"/>
      <c r="B45" s="2"/>
      <c r="C45" s="2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0"/>
      <c r="AI45" s="10"/>
      <c r="AJ45" s="2"/>
      <c r="AK45" s="2"/>
      <c r="AL45" s="2"/>
      <c r="AM45" s="2"/>
      <c r="AN45" s="6"/>
      <c r="AO45" s="8"/>
    </row>
    <row r="46" spans="1:41" x14ac:dyDescent="0.25">
      <c r="A46" s="3"/>
      <c r="B46" s="2"/>
      <c r="C46" s="2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0"/>
      <c r="AI46" s="10"/>
      <c r="AJ46" s="2"/>
      <c r="AK46" s="2"/>
      <c r="AL46" s="2"/>
      <c r="AM46" s="2"/>
      <c r="AN46" s="6"/>
      <c r="AO46" s="8"/>
    </row>
    <row r="47" spans="1:41" x14ac:dyDescent="0.25">
      <c r="A47" s="3"/>
      <c r="B47" s="2"/>
      <c r="C47" s="2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0"/>
      <c r="AI47" s="10"/>
      <c r="AJ47" s="2"/>
      <c r="AK47" s="2"/>
      <c r="AL47" s="2"/>
      <c r="AM47" s="2"/>
      <c r="AN47" s="6"/>
      <c r="AO47" s="8"/>
    </row>
    <row r="48" spans="1:41" x14ac:dyDescent="0.25">
      <c r="A48" s="3"/>
      <c r="B48" s="2"/>
      <c r="C48" s="2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10"/>
      <c r="AI48" s="10"/>
      <c r="AJ48" s="2"/>
      <c r="AK48" s="2"/>
      <c r="AL48" s="2"/>
      <c r="AM48" s="2"/>
      <c r="AN48" s="6"/>
      <c r="AO48" s="8"/>
    </row>
    <row r="49" spans="1:41" x14ac:dyDescent="0.25">
      <c r="A49" s="3"/>
      <c r="B49" s="2"/>
      <c r="C49" s="2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0"/>
      <c r="AI49" s="10"/>
      <c r="AJ49" s="2"/>
      <c r="AK49" s="2"/>
      <c r="AL49" s="2"/>
      <c r="AM49" s="2"/>
      <c r="AN49" s="6"/>
      <c r="AO49" s="8"/>
    </row>
    <row r="50" spans="1:41" x14ac:dyDescent="0.25">
      <c r="A50" s="3"/>
      <c r="B50" s="2"/>
      <c r="C50" s="2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0"/>
      <c r="AI50" s="10"/>
      <c r="AJ50" s="2"/>
      <c r="AK50" s="2"/>
      <c r="AL50" s="2"/>
      <c r="AM50" s="2"/>
      <c r="AN50" s="6"/>
      <c r="AO50" s="8"/>
    </row>
    <row r="51" spans="1:41" x14ac:dyDescent="0.25">
      <c r="A51" s="3"/>
      <c r="B51" s="2"/>
      <c r="C51" s="2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0"/>
      <c r="AI51" s="10"/>
      <c r="AJ51" s="2"/>
      <c r="AK51" s="2"/>
      <c r="AL51" s="2"/>
      <c r="AM51" s="2"/>
      <c r="AN51" s="6"/>
      <c r="AO51" s="8"/>
    </row>
    <row r="52" spans="1:41" x14ac:dyDescent="0.25">
      <c r="A52" s="3"/>
      <c r="B52" s="2"/>
      <c r="C52" s="2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0"/>
      <c r="AI52" s="10"/>
      <c r="AJ52" s="2"/>
      <c r="AK52" s="2"/>
      <c r="AL52" s="2"/>
      <c r="AM52" s="2"/>
      <c r="AN52" s="6"/>
      <c r="AO52" s="8"/>
    </row>
    <row r="53" spans="1:41" x14ac:dyDescent="0.25">
      <c r="A53" s="3"/>
      <c r="B53" s="2"/>
      <c r="C53" s="2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0"/>
      <c r="AI53" s="10"/>
      <c r="AJ53" s="2"/>
      <c r="AK53" s="2"/>
      <c r="AL53" s="2"/>
      <c r="AM53" s="2"/>
      <c r="AN53" s="6"/>
      <c r="AO53" s="8"/>
    </row>
    <row r="54" spans="1:41" x14ac:dyDescent="0.25">
      <c r="A54" s="3"/>
      <c r="B54" s="2"/>
      <c r="C54" s="2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0"/>
      <c r="AI54" s="10"/>
      <c r="AJ54" s="2"/>
      <c r="AK54" s="2"/>
      <c r="AL54" s="2"/>
      <c r="AM54" s="2"/>
      <c r="AN54" s="6"/>
      <c r="AO54" s="8"/>
    </row>
    <row r="55" spans="1:41" x14ac:dyDescent="0.25">
      <c r="A55" s="3"/>
      <c r="B55" s="2"/>
      <c r="C55" s="2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0"/>
      <c r="AI55" s="10"/>
      <c r="AJ55" s="2"/>
      <c r="AK55" s="2"/>
      <c r="AL55" s="2"/>
      <c r="AM55" s="2"/>
      <c r="AN55" s="6"/>
      <c r="AO55" s="8"/>
    </row>
    <row r="56" spans="1:41" x14ac:dyDescent="0.25">
      <c r="A56" s="3"/>
      <c r="B56" s="2"/>
      <c r="C56" s="2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0"/>
      <c r="AI56" s="10"/>
      <c r="AJ56" s="2"/>
      <c r="AK56" s="2"/>
      <c r="AL56" s="2"/>
      <c r="AM56" s="2"/>
      <c r="AN56" s="6"/>
      <c r="AO56" s="8"/>
    </row>
    <row r="57" spans="1:41" x14ac:dyDescent="0.25">
      <c r="A57" s="3"/>
      <c r="B57" s="2"/>
      <c r="C57" s="2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10"/>
      <c r="AI57" s="10"/>
      <c r="AJ57" s="2"/>
      <c r="AK57" s="2"/>
      <c r="AL57" s="2"/>
      <c r="AM57" s="2"/>
      <c r="AN57" s="6"/>
      <c r="AO57" s="8"/>
    </row>
    <row r="58" spans="1:41" x14ac:dyDescent="0.25">
      <c r="A58" s="3"/>
      <c r="B58" s="2"/>
      <c r="C58" s="2"/>
      <c r="D58" s="6"/>
      <c r="E58" s="6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10"/>
      <c r="AI58" s="10"/>
      <c r="AJ58" s="2"/>
      <c r="AK58" s="2"/>
      <c r="AL58" s="2"/>
      <c r="AM58" s="2"/>
      <c r="AN58" s="6"/>
      <c r="AO58" s="8"/>
    </row>
    <row r="59" spans="1:41" x14ac:dyDescent="0.25">
      <c r="A59" s="3"/>
      <c r="B59" s="2"/>
      <c r="C59" s="2"/>
      <c r="D59" s="6"/>
      <c r="E59" s="6"/>
      <c r="F59" s="6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10"/>
      <c r="AI59" s="10"/>
      <c r="AJ59" s="2"/>
      <c r="AK59" s="2"/>
      <c r="AL59" s="2"/>
      <c r="AM59" s="2"/>
      <c r="AN59" s="6"/>
      <c r="AO59" s="8"/>
    </row>
    <row r="60" spans="1:41" ht="12" thickBot="1" x14ac:dyDescent="0.3">
      <c r="B60" s="5"/>
      <c r="C60" s="5"/>
      <c r="D60" s="7"/>
      <c r="E60" s="7"/>
      <c r="F60" s="7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11"/>
      <c r="AI60" s="11"/>
      <c r="AJ60" s="5"/>
      <c r="AK60" s="5"/>
      <c r="AL60" s="5"/>
      <c r="AM60" s="5"/>
      <c r="AN60" s="7"/>
      <c r="AO60" s="9"/>
    </row>
  </sheetData>
  <mergeCells count="28">
    <mergeCell ref="O2:O3"/>
    <mergeCell ref="A1:A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O2:AO3"/>
    <mergeCell ref="P2:P3"/>
    <mergeCell ref="Q2:Q3"/>
    <mergeCell ref="R2:R3"/>
    <mergeCell ref="S2:S3"/>
    <mergeCell ref="T2:T3"/>
    <mergeCell ref="U2:U3"/>
    <mergeCell ref="V2:X2"/>
    <mergeCell ref="Y2:Z2"/>
    <mergeCell ref="AA2:AC2"/>
    <mergeCell ref="AD2:AM2"/>
    <mergeCell ref="AN2:AN3"/>
  </mergeCells>
  <pageMargins left="0.5" right="0.5" top="0.75" bottom="0.75" header="0.3" footer="0.3"/>
  <pageSetup paperSize="3" scale="99" orientation="landscape" r:id="rId1"/>
  <colBreaks count="1" manualBreakCount="1">
    <brk id="4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928F-E9DA-4F2D-84AA-80BE9511ABFC}">
  <dimension ref="A1:AO60"/>
  <sheetViews>
    <sheetView showRuler="0" topLeftCell="B1" zoomScaleNormal="100" zoomScaleSheetLayoutView="90" zoomScalePageLayoutView="80" workbookViewId="0">
      <selection activeCell="B4" sqref="B4:AO60"/>
    </sheetView>
  </sheetViews>
  <sheetFormatPr defaultColWidth="9.140625" defaultRowHeight="11.25" x14ac:dyDescent="0.25"/>
  <cols>
    <col min="1" max="1" width="9.140625" style="1" hidden="1" customWidth="1"/>
    <col min="2" max="2" width="9.7109375" style="1" customWidth="1"/>
    <col min="3" max="3" width="9.7109375" style="1" hidden="1" customWidth="1"/>
    <col min="4" max="4" width="28.7109375" style="1" customWidth="1"/>
    <col min="5" max="7" width="10.7109375" style="1" hidden="1" customWidth="1"/>
    <col min="8" max="8" width="8.28515625" style="1" customWidth="1"/>
    <col min="9" max="10" width="10.7109375" style="1" hidden="1" customWidth="1"/>
    <col min="11" max="11" width="13.28515625" style="1" hidden="1" customWidth="1"/>
    <col min="12" max="13" width="10.7109375" style="1" customWidth="1"/>
    <col min="14" max="14" width="10.7109375" style="1" hidden="1" customWidth="1"/>
    <col min="15" max="15" width="6.7109375" style="1" hidden="1" customWidth="1"/>
    <col min="16" max="16" width="10.7109375" style="1" hidden="1" customWidth="1"/>
    <col min="17" max="17" width="6.7109375" style="1" hidden="1" customWidth="1"/>
    <col min="18" max="20" width="10.7109375" style="1" hidden="1" customWidth="1"/>
    <col min="21" max="21" width="9.7109375" style="1" hidden="1" customWidth="1"/>
    <col min="22" max="22" width="6.7109375" style="1" hidden="1" customWidth="1"/>
    <col min="23" max="30" width="6.7109375" style="1" customWidth="1"/>
    <col min="31" max="32" width="6.7109375" style="1" hidden="1" customWidth="1"/>
    <col min="33" max="33" width="9.28515625" style="1" hidden="1" customWidth="1"/>
    <col min="34" max="36" width="12.7109375" style="1" hidden="1" customWidth="1"/>
    <col min="37" max="38" width="6.7109375" style="1" hidden="1" customWidth="1"/>
    <col min="39" max="39" width="7.7109375" style="1" hidden="1" customWidth="1"/>
    <col min="40" max="41" width="14.7109375" style="1" customWidth="1"/>
    <col min="42" max="42" width="9.140625" style="1" customWidth="1"/>
    <col min="43" max="16384" width="9.140625" style="1"/>
  </cols>
  <sheetData>
    <row r="1" spans="1:41" ht="1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6"/>
    </row>
    <row r="2" spans="1:41" s="12" customFormat="1" ht="11.25" customHeight="1" x14ac:dyDescent="0.25">
      <c r="A2" s="37" t="s">
        <v>1</v>
      </c>
      <c r="B2" s="28" t="s">
        <v>2</v>
      </c>
      <c r="C2" s="32" t="s">
        <v>3</v>
      </c>
      <c r="D2" s="28" t="s">
        <v>4</v>
      </c>
      <c r="E2" s="32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32" t="s">
        <v>11</v>
      </c>
      <c r="L2" s="32" t="s">
        <v>12</v>
      </c>
      <c r="M2" s="28" t="s">
        <v>13</v>
      </c>
      <c r="N2" s="28" t="s">
        <v>14</v>
      </c>
      <c r="O2" s="32" t="s">
        <v>15</v>
      </c>
      <c r="P2" s="32" t="s">
        <v>16</v>
      </c>
      <c r="Q2" s="32" t="s">
        <v>17</v>
      </c>
      <c r="R2" s="32" t="s">
        <v>18</v>
      </c>
      <c r="S2" s="32" t="s">
        <v>19</v>
      </c>
      <c r="T2" s="32" t="s">
        <v>20</v>
      </c>
      <c r="U2" s="28" t="s">
        <v>21</v>
      </c>
      <c r="V2" s="28" t="s">
        <v>22</v>
      </c>
      <c r="W2" s="28"/>
      <c r="X2" s="28"/>
      <c r="Y2" s="28" t="s">
        <v>23</v>
      </c>
      <c r="Z2" s="28"/>
      <c r="AA2" s="28" t="s">
        <v>24</v>
      </c>
      <c r="AB2" s="28"/>
      <c r="AC2" s="28"/>
      <c r="AD2" s="28" t="s">
        <v>25</v>
      </c>
      <c r="AE2" s="28"/>
      <c r="AF2" s="28"/>
      <c r="AG2" s="28"/>
      <c r="AH2" s="28"/>
      <c r="AI2" s="28"/>
      <c r="AJ2" s="28"/>
      <c r="AK2" s="28"/>
      <c r="AL2" s="28"/>
      <c r="AM2" s="28"/>
      <c r="AN2" s="28" t="s">
        <v>26</v>
      </c>
      <c r="AO2" s="31" t="s">
        <v>27</v>
      </c>
    </row>
    <row r="3" spans="1:41" s="12" customFormat="1" ht="33.75" x14ac:dyDescent="0.25">
      <c r="A3" s="37"/>
      <c r="B3" s="28"/>
      <c r="C3" s="33"/>
      <c r="D3" s="28"/>
      <c r="E3" s="33"/>
      <c r="F3" s="28"/>
      <c r="G3" s="28"/>
      <c r="H3" s="28"/>
      <c r="I3" s="28"/>
      <c r="J3" s="28"/>
      <c r="K3" s="33"/>
      <c r="L3" s="33"/>
      <c r="M3" s="28"/>
      <c r="N3" s="28"/>
      <c r="O3" s="33"/>
      <c r="P3" s="33"/>
      <c r="Q3" s="33"/>
      <c r="R3" s="33"/>
      <c r="S3" s="33"/>
      <c r="T3" s="33"/>
      <c r="U3" s="28"/>
      <c r="V3" s="13" t="s">
        <v>28</v>
      </c>
      <c r="W3" s="13" t="s">
        <v>29</v>
      </c>
      <c r="X3" s="13" t="s">
        <v>30</v>
      </c>
      <c r="Y3" s="13" t="s">
        <v>29</v>
      </c>
      <c r="Z3" s="13" t="s">
        <v>30</v>
      </c>
      <c r="AA3" s="13" t="s">
        <v>31</v>
      </c>
      <c r="AB3" s="13" t="s">
        <v>29</v>
      </c>
      <c r="AC3" s="13" t="s">
        <v>30</v>
      </c>
      <c r="AD3" s="13" t="s">
        <v>32</v>
      </c>
      <c r="AE3" s="13" t="s">
        <v>33</v>
      </c>
      <c r="AF3" s="13" t="s">
        <v>34</v>
      </c>
      <c r="AG3" s="13" t="s">
        <v>35</v>
      </c>
      <c r="AH3" s="13" t="s">
        <v>36</v>
      </c>
      <c r="AI3" s="13" t="s">
        <v>37</v>
      </c>
      <c r="AJ3" s="13" t="s">
        <v>38</v>
      </c>
      <c r="AK3" s="13" t="s">
        <v>39</v>
      </c>
      <c r="AL3" s="13" t="s">
        <v>40</v>
      </c>
      <c r="AM3" s="13" t="s">
        <v>41</v>
      </c>
      <c r="AN3" s="28"/>
      <c r="AO3" s="31"/>
    </row>
    <row r="4" spans="1:41" x14ac:dyDescent="0.25">
      <c r="B4" s="2"/>
      <c r="C4" s="2"/>
      <c r="D4" s="6"/>
      <c r="E4" s="6"/>
      <c r="F4" s="6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10"/>
      <c r="AI4" s="10"/>
      <c r="AJ4" s="2"/>
      <c r="AK4" s="2"/>
      <c r="AL4" s="2"/>
      <c r="AM4" s="2"/>
      <c r="AN4" s="6"/>
      <c r="AO4" s="8"/>
    </row>
    <row r="5" spans="1:41" x14ac:dyDescent="0.25">
      <c r="B5" s="2"/>
      <c r="C5" s="2"/>
      <c r="D5" s="6"/>
      <c r="E5" s="6"/>
      <c r="F5" s="6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"/>
      <c r="AI5" s="10"/>
      <c r="AJ5" s="2"/>
      <c r="AK5" s="2"/>
      <c r="AL5" s="2"/>
      <c r="AM5" s="2"/>
      <c r="AN5" s="6"/>
      <c r="AO5" s="8"/>
    </row>
    <row r="6" spans="1:41" x14ac:dyDescent="0.25">
      <c r="B6" s="2"/>
      <c r="C6" s="2"/>
      <c r="D6" s="6"/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0"/>
      <c r="AI6" s="10"/>
      <c r="AJ6" s="2"/>
      <c r="AK6" s="2"/>
      <c r="AL6" s="2"/>
      <c r="AM6" s="2"/>
      <c r="AN6" s="6"/>
      <c r="AO6" s="8"/>
    </row>
    <row r="7" spans="1:41" x14ac:dyDescent="0.25">
      <c r="B7" s="2"/>
      <c r="C7" s="2"/>
      <c r="D7" s="6"/>
      <c r="E7" s="6"/>
      <c r="F7" s="6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10"/>
      <c r="AI7" s="10"/>
      <c r="AJ7" s="2"/>
      <c r="AK7" s="2"/>
      <c r="AL7" s="2"/>
      <c r="AM7" s="2"/>
      <c r="AN7" s="6"/>
      <c r="AO7" s="8"/>
    </row>
    <row r="8" spans="1:41" x14ac:dyDescent="0.25">
      <c r="B8" s="2"/>
      <c r="C8" s="2"/>
      <c r="D8" s="6"/>
      <c r="E8" s="6"/>
      <c r="F8" s="6"/>
      <c r="G8" s="6"/>
      <c r="H8" s="2"/>
      <c r="I8" s="2"/>
      <c r="J8" s="2"/>
      <c r="K8" s="2"/>
      <c r="L8" s="15"/>
      <c r="M8" s="2"/>
      <c r="N8" s="2"/>
      <c r="O8" s="2"/>
      <c r="P8" s="2"/>
      <c r="Q8" s="2"/>
      <c r="R8" s="2"/>
      <c r="S8" s="2"/>
      <c r="T8" s="2"/>
      <c r="U8" s="2"/>
      <c r="V8" s="2"/>
      <c r="W8" s="15"/>
      <c r="X8" s="2"/>
      <c r="Y8" s="15"/>
      <c r="Z8" s="2"/>
      <c r="AA8" s="2"/>
      <c r="AB8" s="2"/>
      <c r="AC8" s="2"/>
      <c r="AD8" s="2"/>
      <c r="AE8" s="2"/>
      <c r="AF8" s="2"/>
      <c r="AG8" s="2"/>
      <c r="AH8" s="10"/>
      <c r="AI8" s="10"/>
      <c r="AJ8" s="2"/>
      <c r="AK8" s="2"/>
      <c r="AL8" s="2"/>
      <c r="AM8" s="2"/>
      <c r="AN8" s="6"/>
      <c r="AO8" s="8"/>
    </row>
    <row r="9" spans="1:41" x14ac:dyDescent="0.25">
      <c r="B9" s="2"/>
      <c r="C9" s="2"/>
      <c r="D9" s="6"/>
      <c r="E9" s="6"/>
      <c r="F9" s="6"/>
      <c r="G9" s="6"/>
      <c r="H9" s="2"/>
      <c r="I9" s="2"/>
      <c r="J9" s="2"/>
      <c r="K9" s="2"/>
      <c r="L9" s="15"/>
      <c r="M9" s="2"/>
      <c r="N9" s="2"/>
      <c r="O9" s="2"/>
      <c r="P9" s="2"/>
      <c r="Q9" s="2"/>
      <c r="R9" s="2"/>
      <c r="S9" s="2"/>
      <c r="T9" s="2"/>
      <c r="U9" s="2"/>
      <c r="V9" s="2"/>
      <c r="W9" s="15"/>
      <c r="X9" s="2"/>
      <c r="Y9" s="2"/>
      <c r="Z9" s="2"/>
      <c r="AA9" s="2"/>
      <c r="AB9" s="2"/>
      <c r="AC9" s="2"/>
      <c r="AD9" s="2"/>
      <c r="AE9" s="2"/>
      <c r="AF9" s="2"/>
      <c r="AG9" s="2"/>
      <c r="AH9" s="10"/>
      <c r="AI9" s="10"/>
      <c r="AJ9" s="2"/>
      <c r="AK9" s="2"/>
      <c r="AL9" s="2"/>
      <c r="AM9" s="2"/>
      <c r="AN9" s="6"/>
      <c r="AO9" s="8"/>
    </row>
    <row r="10" spans="1:41" x14ac:dyDescent="0.25">
      <c r="B10" s="2"/>
      <c r="C10" s="2"/>
      <c r="D10" s="6"/>
      <c r="E10" s="6"/>
      <c r="F10" s="6"/>
      <c r="G10" s="6"/>
      <c r="H10" s="2"/>
      <c r="I10" s="2"/>
      <c r="J10" s="2"/>
      <c r="K10" s="2"/>
      <c r="L10" s="15"/>
      <c r="M10" s="2"/>
      <c r="N10" s="2"/>
      <c r="O10" s="2"/>
      <c r="P10" s="2"/>
      <c r="Q10" s="2"/>
      <c r="R10" s="2"/>
      <c r="S10" s="2"/>
      <c r="T10" s="2"/>
      <c r="U10" s="2"/>
      <c r="V10" s="2"/>
      <c r="W10" s="15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0"/>
      <c r="AI10" s="10"/>
      <c r="AJ10" s="2"/>
      <c r="AK10" s="2"/>
      <c r="AL10" s="2"/>
      <c r="AM10" s="2"/>
      <c r="AN10" s="6"/>
      <c r="AO10" s="8"/>
    </row>
    <row r="11" spans="1:41" x14ac:dyDescent="0.25">
      <c r="B11" s="2"/>
      <c r="C11" s="2"/>
      <c r="D11" s="6"/>
      <c r="E11" s="6"/>
      <c r="F11" s="6"/>
      <c r="G11" s="6"/>
      <c r="H11" s="2"/>
      <c r="I11" s="2"/>
      <c r="J11" s="2"/>
      <c r="K11" s="2"/>
      <c r="L11" s="15"/>
      <c r="M11" s="2"/>
      <c r="N11" s="2"/>
      <c r="O11" s="2"/>
      <c r="P11" s="2"/>
      <c r="Q11" s="2"/>
      <c r="R11" s="2"/>
      <c r="S11" s="2"/>
      <c r="T11" s="2"/>
      <c r="U11" s="2"/>
      <c r="V11" s="2"/>
      <c r="W11" s="15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0"/>
      <c r="AI11" s="10"/>
      <c r="AJ11" s="2"/>
      <c r="AK11" s="2"/>
      <c r="AL11" s="2"/>
      <c r="AM11" s="2"/>
      <c r="AN11" s="6"/>
      <c r="AO11" s="8"/>
    </row>
    <row r="12" spans="1:41" x14ac:dyDescent="0.25">
      <c r="B12" s="2"/>
      <c r="C12" s="2"/>
      <c r="D12" s="6"/>
      <c r="E12" s="6"/>
      <c r="F12" s="6"/>
      <c r="G12" s="6"/>
      <c r="H12" s="2"/>
      <c r="I12" s="2"/>
      <c r="J12" s="2"/>
      <c r="K12" s="2"/>
      <c r="L12" s="15"/>
      <c r="M12" s="2"/>
      <c r="N12" s="2"/>
      <c r="O12" s="2"/>
      <c r="P12" s="2"/>
      <c r="Q12" s="2"/>
      <c r="R12" s="2"/>
      <c r="S12" s="2"/>
      <c r="T12" s="2"/>
      <c r="U12" s="2"/>
      <c r="V12" s="2"/>
      <c r="W12" s="15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0"/>
      <c r="AI12" s="10"/>
      <c r="AJ12" s="2"/>
      <c r="AK12" s="2"/>
      <c r="AL12" s="2"/>
      <c r="AM12" s="2"/>
      <c r="AN12" s="6"/>
      <c r="AO12" s="8"/>
    </row>
    <row r="13" spans="1:41" x14ac:dyDescent="0.25">
      <c r="B13" s="2"/>
      <c r="C13" s="2"/>
      <c r="D13" s="6"/>
      <c r="E13" s="6"/>
      <c r="F13" s="6"/>
      <c r="G13" s="6"/>
      <c r="H13" s="2"/>
      <c r="I13" s="2"/>
      <c r="J13" s="2"/>
      <c r="K13" s="2"/>
      <c r="L13" s="15"/>
      <c r="M13" s="2"/>
      <c r="N13" s="2"/>
      <c r="O13" s="2"/>
      <c r="P13" s="2"/>
      <c r="Q13" s="2"/>
      <c r="R13" s="2"/>
      <c r="S13" s="2"/>
      <c r="T13" s="2"/>
      <c r="U13" s="2"/>
      <c r="V13" s="2"/>
      <c r="W13" s="15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0"/>
      <c r="AI13" s="10"/>
      <c r="AJ13" s="2"/>
      <c r="AK13" s="2"/>
      <c r="AL13" s="2"/>
      <c r="AM13" s="2"/>
      <c r="AN13" s="6"/>
      <c r="AO13" s="8"/>
    </row>
    <row r="14" spans="1:41" x14ac:dyDescent="0.25">
      <c r="B14" s="2"/>
      <c r="C14" s="2"/>
      <c r="D14" s="6"/>
      <c r="E14" s="6"/>
      <c r="F14" s="6"/>
      <c r="G14" s="6"/>
      <c r="H14" s="2"/>
      <c r="I14" s="2"/>
      <c r="J14" s="2"/>
      <c r="K14" s="2"/>
      <c r="L14" s="1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0"/>
      <c r="AI14" s="10"/>
      <c r="AJ14" s="2"/>
      <c r="AK14" s="2"/>
      <c r="AL14" s="2"/>
      <c r="AM14" s="2"/>
      <c r="AN14" s="6"/>
      <c r="AO14" s="8"/>
    </row>
    <row r="15" spans="1:41" x14ac:dyDescent="0.25">
      <c r="B15" s="2"/>
      <c r="C15" s="2"/>
      <c r="D15" s="6"/>
      <c r="E15" s="6"/>
      <c r="F15" s="6"/>
      <c r="G15" s="6"/>
      <c r="H15" s="2"/>
      <c r="I15" s="2"/>
      <c r="J15" s="2"/>
      <c r="K15" s="2"/>
      <c r="L15" s="1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0"/>
      <c r="AI15" s="10"/>
      <c r="AJ15" s="2"/>
      <c r="AK15" s="2"/>
      <c r="AL15" s="2"/>
      <c r="AM15" s="2"/>
      <c r="AN15" s="6"/>
      <c r="AO15" s="8"/>
    </row>
    <row r="16" spans="1:41" x14ac:dyDescent="0.25">
      <c r="B16" s="2"/>
      <c r="C16" s="2"/>
      <c r="D16" s="6"/>
      <c r="E16" s="6"/>
      <c r="F16" s="6"/>
      <c r="G16" s="6"/>
      <c r="H16" s="2"/>
      <c r="I16" s="2"/>
      <c r="J16" s="2"/>
      <c r="K16" s="2"/>
      <c r="L16" s="1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0"/>
      <c r="AI16" s="10"/>
      <c r="AJ16" s="2"/>
      <c r="AK16" s="2"/>
      <c r="AL16" s="2"/>
      <c r="AM16" s="2"/>
      <c r="AN16" s="6"/>
      <c r="AO16" s="8"/>
    </row>
    <row r="17" spans="1:41" x14ac:dyDescent="0.25">
      <c r="B17" s="2"/>
      <c r="C17" s="2"/>
      <c r="D17" s="6"/>
      <c r="E17" s="6"/>
      <c r="F17" s="6"/>
      <c r="G17" s="6"/>
      <c r="H17" s="2"/>
      <c r="I17" s="2"/>
      <c r="J17" s="2"/>
      <c r="K17" s="2"/>
      <c r="L17" s="1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0"/>
      <c r="AI17" s="10"/>
      <c r="AJ17" s="2"/>
      <c r="AK17" s="2"/>
      <c r="AL17" s="2"/>
      <c r="AM17" s="2"/>
      <c r="AN17" s="6"/>
      <c r="AO17" s="8"/>
    </row>
    <row r="18" spans="1:41" x14ac:dyDescent="0.25">
      <c r="A18" s="3"/>
      <c r="B18" s="2"/>
      <c r="C18" s="2"/>
      <c r="D18" s="6"/>
      <c r="E18" s="6"/>
      <c r="F18" s="6"/>
      <c r="G18" s="6"/>
      <c r="H18" s="2"/>
      <c r="I18" s="2"/>
      <c r="J18" s="2"/>
      <c r="K18" s="2"/>
      <c r="L18" s="1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10"/>
      <c r="AI18" s="10"/>
      <c r="AJ18" s="2"/>
      <c r="AK18" s="2"/>
      <c r="AL18" s="2"/>
      <c r="AM18" s="2"/>
      <c r="AN18" s="6"/>
      <c r="AO18" s="8"/>
    </row>
    <row r="19" spans="1:41" x14ac:dyDescent="0.25">
      <c r="A19" s="3"/>
      <c r="B19" s="2"/>
      <c r="C19" s="2"/>
      <c r="D19" s="6"/>
      <c r="E19" s="6"/>
      <c r="F19" s="6"/>
      <c r="G19" s="6"/>
      <c r="H19" s="2"/>
      <c r="I19" s="2"/>
      <c r="J19" s="2"/>
      <c r="K19" s="2"/>
      <c r="L19" s="1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0"/>
      <c r="AI19" s="10"/>
      <c r="AJ19" s="2"/>
      <c r="AK19" s="2"/>
      <c r="AL19" s="2"/>
      <c r="AM19" s="2"/>
      <c r="AN19" s="6"/>
      <c r="AO19" s="8"/>
    </row>
    <row r="20" spans="1:41" x14ac:dyDescent="0.25">
      <c r="A20" s="3"/>
      <c r="B20" s="2"/>
      <c r="C20" s="2"/>
      <c r="D20" s="6"/>
      <c r="E20" s="6"/>
      <c r="F20" s="6"/>
      <c r="G20" s="6"/>
      <c r="H20" s="2"/>
      <c r="I20" s="2"/>
      <c r="J20" s="2"/>
      <c r="K20" s="2"/>
      <c r="L20" s="1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0"/>
      <c r="AI20" s="10"/>
      <c r="AJ20" s="2"/>
      <c r="AK20" s="2"/>
      <c r="AL20" s="2"/>
      <c r="AM20" s="2"/>
      <c r="AN20" s="6"/>
      <c r="AO20" s="8"/>
    </row>
    <row r="21" spans="1:41" x14ac:dyDescent="0.25">
      <c r="A21" s="3"/>
      <c r="B21" s="2"/>
      <c r="C21" s="2"/>
      <c r="D21" s="6"/>
      <c r="E21" s="6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7"/>
      <c r="Z21" s="2"/>
      <c r="AA21" s="2"/>
      <c r="AB21" s="2"/>
      <c r="AC21" s="2"/>
      <c r="AD21" s="2"/>
      <c r="AE21" s="2"/>
      <c r="AF21" s="2"/>
      <c r="AG21" s="2"/>
      <c r="AH21" s="10"/>
      <c r="AI21" s="10"/>
      <c r="AJ21" s="2"/>
      <c r="AK21" s="2"/>
      <c r="AL21" s="2"/>
      <c r="AM21" s="2"/>
      <c r="AN21" s="6"/>
      <c r="AO21" s="8"/>
    </row>
    <row r="22" spans="1:41" x14ac:dyDescent="0.25">
      <c r="A22" s="3"/>
      <c r="B22" s="2"/>
      <c r="C22" s="2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0"/>
      <c r="AI22" s="10"/>
      <c r="AJ22" s="2"/>
      <c r="AK22" s="2"/>
      <c r="AL22" s="2"/>
      <c r="AM22" s="2"/>
      <c r="AN22" s="6"/>
      <c r="AO22" s="8"/>
    </row>
    <row r="23" spans="1:41" x14ac:dyDescent="0.25">
      <c r="A23" s="3"/>
      <c r="B23" s="2"/>
      <c r="C23" s="2"/>
      <c r="D23" s="6"/>
      <c r="E23" s="6"/>
      <c r="F23" s="6"/>
      <c r="G23" s="6"/>
      <c r="H23" s="2"/>
      <c r="I23" s="2"/>
      <c r="J23" s="2"/>
      <c r="K23" s="2"/>
      <c r="L23" s="18"/>
      <c r="M23" s="2"/>
      <c r="N23" s="2"/>
      <c r="O23" s="2"/>
      <c r="P23" s="2"/>
      <c r="Q23" s="2"/>
      <c r="R23" s="2"/>
      <c r="S23" s="2"/>
      <c r="T23" s="2"/>
      <c r="U23" s="2"/>
      <c r="V23" s="2"/>
      <c r="W23" s="1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0"/>
      <c r="AI23" s="10"/>
      <c r="AJ23" s="2"/>
      <c r="AK23" s="2"/>
      <c r="AL23" s="2"/>
      <c r="AM23" s="2"/>
      <c r="AN23" s="6"/>
      <c r="AO23" s="8"/>
    </row>
    <row r="24" spans="1:41" x14ac:dyDescent="0.25">
      <c r="A24" s="3"/>
      <c r="B24" s="2"/>
      <c r="C24" s="2"/>
      <c r="D24" s="6"/>
      <c r="E24" s="6"/>
      <c r="F24" s="6"/>
      <c r="G24" s="6"/>
      <c r="H24" s="2"/>
      <c r="I24" s="2"/>
      <c r="J24" s="2"/>
      <c r="K24" s="2"/>
      <c r="L24" s="18"/>
      <c r="M24" s="2"/>
      <c r="N24" s="2"/>
      <c r="O24" s="2"/>
      <c r="P24" s="2"/>
      <c r="Q24" s="2"/>
      <c r="R24" s="2"/>
      <c r="S24" s="2"/>
      <c r="T24" s="2"/>
      <c r="U24" s="2"/>
      <c r="V24" s="2"/>
      <c r="W24" s="16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0"/>
      <c r="AI24" s="10"/>
      <c r="AJ24" s="2"/>
      <c r="AK24" s="2"/>
      <c r="AL24" s="2"/>
      <c r="AM24" s="2"/>
      <c r="AN24" s="6"/>
      <c r="AO24" s="8"/>
    </row>
    <row r="25" spans="1:41" x14ac:dyDescent="0.25">
      <c r="A25" s="3"/>
      <c r="B25" s="2"/>
      <c r="C25" s="2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0"/>
      <c r="AI25" s="10"/>
      <c r="AJ25" s="2"/>
      <c r="AK25" s="2"/>
      <c r="AL25" s="2"/>
      <c r="AM25" s="2"/>
      <c r="AN25" s="6"/>
      <c r="AO25" s="8"/>
    </row>
    <row r="26" spans="1:41" x14ac:dyDescent="0.25">
      <c r="A26" s="3"/>
      <c r="B26" s="2"/>
      <c r="C26" s="2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0"/>
      <c r="AI26" s="10"/>
      <c r="AJ26" s="2"/>
      <c r="AK26" s="2"/>
      <c r="AL26" s="2"/>
      <c r="AM26" s="2"/>
      <c r="AN26" s="6"/>
      <c r="AO26" s="8"/>
    </row>
    <row r="27" spans="1:41" x14ac:dyDescent="0.25">
      <c r="A27" s="3"/>
      <c r="B27" s="2"/>
      <c r="C27" s="2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0"/>
      <c r="AI27" s="10"/>
      <c r="AJ27" s="2"/>
      <c r="AK27" s="2"/>
      <c r="AL27" s="2"/>
      <c r="AM27" s="2"/>
      <c r="AN27" s="6"/>
      <c r="AO27" s="8"/>
    </row>
    <row r="28" spans="1:41" x14ac:dyDescent="0.25">
      <c r="A28" s="3"/>
      <c r="B28" s="2"/>
      <c r="C28" s="2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0"/>
      <c r="AI28" s="10"/>
      <c r="AJ28" s="2"/>
      <c r="AK28" s="2"/>
      <c r="AL28" s="2"/>
      <c r="AM28" s="2"/>
      <c r="AN28" s="6"/>
      <c r="AO28" s="8"/>
    </row>
    <row r="29" spans="1:41" x14ac:dyDescent="0.25">
      <c r="A29" s="3"/>
      <c r="B29" s="2"/>
      <c r="C29" s="2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0"/>
      <c r="AI29" s="10"/>
      <c r="AJ29" s="2"/>
      <c r="AK29" s="2"/>
      <c r="AL29" s="2"/>
      <c r="AM29" s="2"/>
      <c r="AN29" s="6"/>
      <c r="AO29" s="8"/>
    </row>
    <row r="30" spans="1:41" x14ac:dyDescent="0.25">
      <c r="A30" s="3"/>
      <c r="B30" s="2"/>
      <c r="C30" s="2"/>
      <c r="D30" s="6"/>
      <c r="E30" s="6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0"/>
      <c r="AI30" s="10"/>
      <c r="AJ30" s="2"/>
      <c r="AK30" s="2"/>
      <c r="AL30" s="2"/>
      <c r="AM30" s="2"/>
      <c r="AN30" s="6"/>
      <c r="AO30" s="8"/>
    </row>
    <row r="31" spans="1:41" x14ac:dyDescent="0.25">
      <c r="A31" s="3"/>
      <c r="B31" s="2"/>
      <c r="C31" s="2"/>
      <c r="D31" s="6"/>
      <c r="E31" s="6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0"/>
      <c r="AI31" s="10"/>
      <c r="AJ31" s="2"/>
      <c r="AK31" s="2"/>
      <c r="AL31" s="2"/>
      <c r="AM31" s="2"/>
      <c r="AN31" s="6"/>
      <c r="AO31" s="8"/>
    </row>
    <row r="32" spans="1:41" x14ac:dyDescent="0.25">
      <c r="A32" s="3"/>
      <c r="B32" s="2"/>
      <c r="C32" s="2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0"/>
      <c r="AI32" s="10"/>
      <c r="AJ32" s="2"/>
      <c r="AK32" s="2"/>
      <c r="AL32" s="2"/>
      <c r="AM32" s="2"/>
      <c r="AN32" s="6"/>
      <c r="AO32" s="8"/>
    </row>
    <row r="33" spans="1:41" x14ac:dyDescent="0.25">
      <c r="A33" s="3"/>
      <c r="B33" s="2"/>
      <c r="C33" s="2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10"/>
      <c r="AI33" s="10"/>
      <c r="AJ33" s="2"/>
      <c r="AK33" s="2"/>
      <c r="AL33" s="2"/>
      <c r="AM33" s="2"/>
      <c r="AN33" s="6"/>
      <c r="AO33" s="8"/>
    </row>
    <row r="34" spans="1:41" x14ac:dyDescent="0.25">
      <c r="A34" s="3"/>
      <c r="B34" s="2"/>
      <c r="C34" s="2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17"/>
      <c r="Z34" s="2"/>
      <c r="AA34" s="2"/>
      <c r="AB34" s="2"/>
      <c r="AC34" s="2"/>
      <c r="AD34" s="2"/>
      <c r="AE34" s="2"/>
      <c r="AF34" s="2"/>
      <c r="AG34" s="2"/>
      <c r="AH34" s="10"/>
      <c r="AI34" s="10"/>
      <c r="AJ34" s="2"/>
      <c r="AK34" s="2"/>
      <c r="AL34" s="2"/>
      <c r="AM34" s="2"/>
      <c r="AN34" s="6"/>
      <c r="AO34" s="8"/>
    </row>
    <row r="35" spans="1:41" x14ac:dyDescent="0.25">
      <c r="A35" s="3"/>
      <c r="B35" s="2"/>
      <c r="C35" s="2"/>
      <c r="D35" s="6"/>
      <c r="E35" s="6"/>
      <c r="F35" s="6"/>
      <c r="G35" s="6"/>
      <c r="H35" s="2"/>
      <c r="I35" s="2"/>
      <c r="J35" s="2"/>
      <c r="K35" s="2"/>
      <c r="L35" s="18"/>
      <c r="M35" s="2"/>
      <c r="N35" s="2"/>
      <c r="O35" s="2"/>
      <c r="P35" s="2"/>
      <c r="Q35" s="2"/>
      <c r="R35" s="2"/>
      <c r="S35" s="2"/>
      <c r="T35" s="2"/>
      <c r="U35" s="2"/>
      <c r="V35" s="2"/>
      <c r="W35" s="16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0"/>
      <c r="AI35" s="10"/>
      <c r="AJ35" s="2"/>
      <c r="AK35" s="2"/>
      <c r="AL35" s="2"/>
      <c r="AM35" s="2"/>
      <c r="AN35" s="6"/>
      <c r="AO35" s="8"/>
    </row>
    <row r="36" spans="1:41" x14ac:dyDescent="0.25">
      <c r="A36" s="3"/>
      <c r="B36" s="2"/>
      <c r="C36" s="2"/>
      <c r="D36" s="6"/>
      <c r="E36" s="6"/>
      <c r="F36" s="6"/>
      <c r="G36" s="6"/>
      <c r="H36" s="2"/>
      <c r="I36" s="2"/>
      <c r="J36" s="2"/>
      <c r="K36" s="2"/>
      <c r="L36" s="18"/>
      <c r="M36" s="2"/>
      <c r="N36" s="2"/>
      <c r="O36" s="2"/>
      <c r="P36" s="2"/>
      <c r="Q36" s="2"/>
      <c r="R36" s="2"/>
      <c r="S36" s="2"/>
      <c r="T36" s="2"/>
      <c r="U36" s="2"/>
      <c r="V36" s="2"/>
      <c r="W36" s="16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0"/>
      <c r="AI36" s="10"/>
      <c r="AJ36" s="2"/>
      <c r="AK36" s="2"/>
      <c r="AL36" s="2"/>
      <c r="AM36" s="2"/>
      <c r="AN36" s="6"/>
      <c r="AO36" s="8"/>
    </row>
    <row r="37" spans="1:41" x14ac:dyDescent="0.25">
      <c r="A37" s="3"/>
      <c r="B37" s="2"/>
      <c r="C37" s="2"/>
      <c r="D37" s="6"/>
      <c r="E37" s="6"/>
      <c r="F37" s="6"/>
      <c r="G37" s="6"/>
      <c r="H37" s="2"/>
      <c r="I37" s="2"/>
      <c r="J37" s="2"/>
      <c r="K37" s="2"/>
      <c r="L37" s="18"/>
      <c r="M37" s="2"/>
      <c r="N37" s="2"/>
      <c r="O37" s="2"/>
      <c r="P37" s="2"/>
      <c r="Q37" s="2"/>
      <c r="R37" s="2"/>
      <c r="S37" s="2"/>
      <c r="T37" s="2"/>
      <c r="U37" s="2"/>
      <c r="V37" s="2"/>
      <c r="W37" s="16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0"/>
      <c r="AI37" s="10"/>
      <c r="AJ37" s="2"/>
      <c r="AK37" s="2"/>
      <c r="AL37" s="2"/>
      <c r="AM37" s="2"/>
      <c r="AN37" s="6"/>
      <c r="AO37" s="8"/>
    </row>
    <row r="38" spans="1:41" x14ac:dyDescent="0.25">
      <c r="A38" s="3"/>
      <c r="B38" s="2"/>
      <c r="C38" s="2"/>
      <c r="D38" s="6"/>
      <c r="E38" s="6"/>
      <c r="F38" s="6"/>
      <c r="G38" s="6"/>
      <c r="H38" s="2"/>
      <c r="I38" s="2"/>
      <c r="J38" s="2"/>
      <c r="K38" s="2"/>
      <c r="L38" s="18"/>
      <c r="M38" s="2"/>
      <c r="N38" s="2"/>
      <c r="O38" s="2"/>
      <c r="P38" s="2"/>
      <c r="Q38" s="2"/>
      <c r="R38" s="2"/>
      <c r="S38" s="2"/>
      <c r="T38" s="2"/>
      <c r="U38" s="2"/>
      <c r="V38" s="2"/>
      <c r="W38" s="16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0"/>
      <c r="AI38" s="10"/>
      <c r="AJ38" s="2"/>
      <c r="AK38" s="2"/>
      <c r="AL38" s="2"/>
      <c r="AM38" s="2"/>
      <c r="AN38" s="6"/>
      <c r="AO38" s="8"/>
    </row>
    <row r="39" spans="1:41" x14ac:dyDescent="0.25">
      <c r="A39" s="3"/>
      <c r="B39" s="2"/>
      <c r="C39" s="2"/>
      <c r="D39" s="6"/>
      <c r="E39" s="6"/>
      <c r="F39" s="6"/>
      <c r="G39" s="6"/>
      <c r="H39" s="2"/>
      <c r="I39" s="2"/>
      <c r="J39" s="2"/>
      <c r="K39" s="2"/>
      <c r="L39" s="18"/>
      <c r="M39" s="2"/>
      <c r="N39" s="2"/>
      <c r="O39" s="2"/>
      <c r="P39" s="2"/>
      <c r="Q39" s="2"/>
      <c r="R39" s="2"/>
      <c r="S39" s="2"/>
      <c r="T39" s="2"/>
      <c r="U39" s="2"/>
      <c r="V39" s="2"/>
      <c r="W39" s="16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0"/>
      <c r="AI39" s="10"/>
      <c r="AJ39" s="2"/>
      <c r="AK39" s="2"/>
      <c r="AL39" s="2"/>
      <c r="AM39" s="2"/>
      <c r="AN39" s="6"/>
      <c r="AO39" s="8"/>
    </row>
    <row r="40" spans="1:41" x14ac:dyDescent="0.25">
      <c r="A40" s="3"/>
      <c r="B40" s="2"/>
      <c r="C40" s="2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0"/>
      <c r="AI40" s="10"/>
      <c r="AJ40" s="2"/>
      <c r="AK40" s="2"/>
      <c r="AL40" s="2"/>
      <c r="AM40" s="2"/>
      <c r="AN40" s="6"/>
      <c r="AO40" s="8"/>
    </row>
    <row r="41" spans="1:41" x14ac:dyDescent="0.25">
      <c r="A41" s="3"/>
      <c r="B41" s="2"/>
      <c r="C41" s="2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0"/>
      <c r="AI41" s="10"/>
      <c r="AJ41" s="2"/>
      <c r="AK41" s="2"/>
      <c r="AL41" s="2"/>
      <c r="AM41" s="2"/>
      <c r="AN41" s="6"/>
      <c r="AO41" s="8"/>
    </row>
    <row r="42" spans="1:41" x14ac:dyDescent="0.25">
      <c r="A42" s="3"/>
      <c r="B42" s="2"/>
      <c r="C42" s="2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0"/>
      <c r="AI42" s="10"/>
      <c r="AJ42" s="2"/>
      <c r="AK42" s="2"/>
      <c r="AL42" s="2"/>
      <c r="AM42" s="2"/>
      <c r="AN42" s="6"/>
      <c r="AO42" s="8"/>
    </row>
    <row r="43" spans="1:41" x14ac:dyDescent="0.25">
      <c r="A43" s="3"/>
      <c r="B43" s="2"/>
      <c r="C43" s="2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0"/>
      <c r="AI43" s="10"/>
      <c r="AJ43" s="2"/>
      <c r="AK43" s="2"/>
      <c r="AL43" s="2"/>
      <c r="AM43" s="2"/>
      <c r="AN43" s="6"/>
      <c r="AO43" s="8"/>
    </row>
    <row r="44" spans="1:41" x14ac:dyDescent="0.25">
      <c r="A44" s="3"/>
      <c r="B44" s="2"/>
      <c r="C44" s="2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0"/>
      <c r="AI44" s="10"/>
      <c r="AJ44" s="2"/>
      <c r="AK44" s="2"/>
      <c r="AL44" s="2"/>
      <c r="AM44" s="2"/>
      <c r="AN44" s="6"/>
      <c r="AO44" s="8"/>
    </row>
    <row r="45" spans="1:41" x14ac:dyDescent="0.25">
      <c r="A45" s="3"/>
      <c r="B45" s="2"/>
      <c r="C45" s="2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0"/>
      <c r="AI45" s="10"/>
      <c r="AJ45" s="2"/>
      <c r="AK45" s="2"/>
      <c r="AL45" s="2"/>
      <c r="AM45" s="2"/>
      <c r="AN45" s="6"/>
      <c r="AO45" s="8"/>
    </row>
    <row r="46" spans="1:41" x14ac:dyDescent="0.25">
      <c r="A46" s="3"/>
      <c r="B46" s="2"/>
      <c r="C46" s="2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0"/>
      <c r="AI46" s="10"/>
      <c r="AJ46" s="2"/>
      <c r="AK46" s="2"/>
      <c r="AL46" s="2"/>
      <c r="AM46" s="2"/>
      <c r="AN46" s="6"/>
      <c r="AO46" s="8"/>
    </row>
    <row r="47" spans="1:41" x14ac:dyDescent="0.25">
      <c r="A47" s="3"/>
      <c r="B47" s="2"/>
      <c r="C47" s="2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5"/>
      <c r="Z47" s="2"/>
      <c r="AA47" s="2"/>
      <c r="AB47" s="2"/>
      <c r="AC47" s="2"/>
      <c r="AD47" s="2"/>
      <c r="AE47" s="2"/>
      <c r="AF47" s="2"/>
      <c r="AG47" s="2"/>
      <c r="AH47" s="10"/>
      <c r="AI47" s="10"/>
      <c r="AJ47" s="2"/>
      <c r="AK47" s="2"/>
      <c r="AL47" s="2"/>
      <c r="AM47" s="2"/>
      <c r="AN47" s="6"/>
      <c r="AO47" s="8"/>
    </row>
    <row r="48" spans="1:41" x14ac:dyDescent="0.25">
      <c r="A48" s="3"/>
      <c r="B48" s="2"/>
      <c r="C48" s="2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10"/>
      <c r="AI48" s="10"/>
      <c r="AJ48" s="2"/>
      <c r="AK48" s="2"/>
      <c r="AL48" s="2"/>
      <c r="AM48" s="2"/>
      <c r="AN48" s="6"/>
      <c r="AO48" s="8"/>
    </row>
    <row r="49" spans="1:41" x14ac:dyDescent="0.25">
      <c r="A49" s="3"/>
      <c r="B49" s="2"/>
      <c r="C49" s="2"/>
      <c r="D49" s="6"/>
      <c r="E49" s="6"/>
      <c r="F49" s="6"/>
      <c r="G49" s="6"/>
      <c r="H49" s="2"/>
      <c r="I49" s="2"/>
      <c r="J49" s="2"/>
      <c r="K49" s="2"/>
      <c r="L49" s="15"/>
      <c r="M49" s="2"/>
      <c r="N49" s="2"/>
      <c r="O49" s="2"/>
      <c r="P49" s="2"/>
      <c r="Q49" s="2"/>
      <c r="R49" s="2"/>
      <c r="S49" s="2"/>
      <c r="T49" s="2"/>
      <c r="U49" s="2"/>
      <c r="V49" s="2"/>
      <c r="W49" s="15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0"/>
      <c r="AI49" s="10"/>
      <c r="AJ49" s="2"/>
      <c r="AK49" s="2"/>
      <c r="AL49" s="2"/>
      <c r="AM49" s="2"/>
      <c r="AN49" s="6"/>
      <c r="AO49" s="8"/>
    </row>
    <row r="50" spans="1:41" x14ac:dyDescent="0.25">
      <c r="A50" s="3"/>
      <c r="B50" s="2"/>
      <c r="C50" s="2"/>
      <c r="D50" s="6"/>
      <c r="E50" s="6"/>
      <c r="F50" s="6"/>
      <c r="G50" s="6"/>
      <c r="H50" s="2"/>
      <c r="I50" s="2"/>
      <c r="J50" s="2"/>
      <c r="K50" s="2"/>
      <c r="L50" s="15"/>
      <c r="M50" s="2"/>
      <c r="N50" s="2"/>
      <c r="O50" s="2"/>
      <c r="P50" s="2"/>
      <c r="Q50" s="2"/>
      <c r="R50" s="2"/>
      <c r="S50" s="2"/>
      <c r="T50" s="2"/>
      <c r="U50" s="2"/>
      <c r="V50" s="2"/>
      <c r="W50" s="15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0"/>
      <c r="AI50" s="10"/>
      <c r="AJ50" s="2"/>
      <c r="AK50" s="2"/>
      <c r="AL50" s="2"/>
      <c r="AM50" s="2"/>
      <c r="AN50" s="6"/>
      <c r="AO50" s="8"/>
    </row>
    <row r="51" spans="1:41" x14ac:dyDescent="0.25">
      <c r="A51" s="3"/>
      <c r="B51" s="2"/>
      <c r="C51" s="2"/>
      <c r="D51" s="6"/>
      <c r="E51" s="6"/>
      <c r="F51" s="6"/>
      <c r="G51" s="6"/>
      <c r="H51" s="2"/>
      <c r="I51" s="2"/>
      <c r="J51" s="2"/>
      <c r="K51" s="2"/>
      <c r="L51" s="15"/>
      <c r="M51" s="2"/>
      <c r="N51" s="2"/>
      <c r="O51" s="2"/>
      <c r="P51" s="2"/>
      <c r="Q51" s="2"/>
      <c r="R51" s="2"/>
      <c r="S51" s="2"/>
      <c r="T51" s="2"/>
      <c r="U51" s="2"/>
      <c r="V51" s="2"/>
      <c r="W51" s="15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0"/>
      <c r="AI51" s="10"/>
      <c r="AJ51" s="2"/>
      <c r="AK51" s="2"/>
      <c r="AL51" s="2"/>
      <c r="AM51" s="2"/>
      <c r="AN51" s="6"/>
      <c r="AO51" s="8"/>
    </row>
    <row r="52" spans="1:41" x14ac:dyDescent="0.25">
      <c r="A52" s="3"/>
      <c r="B52" s="2"/>
      <c r="C52" s="2"/>
      <c r="D52" s="6"/>
      <c r="E52" s="6"/>
      <c r="F52" s="6"/>
      <c r="G52" s="6"/>
      <c r="H52" s="2"/>
      <c r="I52" s="2"/>
      <c r="J52" s="2"/>
      <c r="K52" s="2"/>
      <c r="L52" s="15"/>
      <c r="M52" s="2"/>
      <c r="N52" s="2"/>
      <c r="O52" s="2"/>
      <c r="P52" s="2"/>
      <c r="Q52" s="2"/>
      <c r="R52" s="2"/>
      <c r="S52" s="2"/>
      <c r="T52" s="2"/>
      <c r="U52" s="2"/>
      <c r="V52" s="2"/>
      <c r="W52" s="15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0"/>
      <c r="AI52" s="10"/>
      <c r="AJ52" s="2"/>
      <c r="AK52" s="2"/>
      <c r="AL52" s="2"/>
      <c r="AM52" s="2"/>
      <c r="AN52" s="6"/>
      <c r="AO52" s="8"/>
    </row>
    <row r="53" spans="1:41" x14ac:dyDescent="0.25">
      <c r="A53" s="3"/>
      <c r="B53" s="2"/>
      <c r="C53" s="2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0"/>
      <c r="AI53" s="10"/>
      <c r="AJ53" s="2"/>
      <c r="AK53" s="2"/>
      <c r="AL53" s="2"/>
      <c r="AM53" s="2"/>
      <c r="AN53" s="6"/>
      <c r="AO53" s="8"/>
    </row>
    <row r="54" spans="1:41" x14ac:dyDescent="0.25">
      <c r="A54" s="3"/>
      <c r="B54" s="2"/>
      <c r="C54" s="2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0"/>
      <c r="AI54" s="10"/>
      <c r="AJ54" s="2"/>
      <c r="AK54" s="2"/>
      <c r="AL54" s="2"/>
      <c r="AM54" s="2"/>
      <c r="AN54" s="6"/>
      <c r="AO54" s="8"/>
    </row>
    <row r="55" spans="1:41" x14ac:dyDescent="0.25">
      <c r="A55" s="3"/>
      <c r="B55" s="2"/>
      <c r="C55" s="2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0"/>
      <c r="AI55" s="10"/>
      <c r="AJ55" s="2"/>
      <c r="AK55" s="2"/>
      <c r="AL55" s="2"/>
      <c r="AM55" s="2"/>
      <c r="AN55" s="6"/>
      <c r="AO55" s="8"/>
    </row>
    <row r="56" spans="1:41" x14ac:dyDescent="0.25">
      <c r="A56" s="3"/>
      <c r="B56" s="2"/>
      <c r="C56" s="2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0"/>
      <c r="AI56" s="10"/>
      <c r="AJ56" s="2"/>
      <c r="AK56" s="2"/>
      <c r="AL56" s="2"/>
      <c r="AM56" s="2"/>
      <c r="AN56" s="6"/>
      <c r="AO56" s="8"/>
    </row>
    <row r="57" spans="1:41" x14ac:dyDescent="0.25">
      <c r="A57" s="3"/>
      <c r="B57" s="2"/>
      <c r="C57" s="2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10"/>
      <c r="AI57" s="10"/>
      <c r="AJ57" s="2"/>
      <c r="AK57" s="2"/>
      <c r="AL57" s="2"/>
      <c r="AM57" s="2"/>
      <c r="AN57" s="6"/>
      <c r="AO57" s="8"/>
    </row>
    <row r="58" spans="1:41" x14ac:dyDescent="0.25">
      <c r="A58" s="3"/>
      <c r="B58" s="2"/>
      <c r="C58" s="2"/>
      <c r="D58" s="6"/>
      <c r="E58" s="6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10"/>
      <c r="AI58" s="10"/>
      <c r="AJ58" s="2"/>
      <c r="AK58" s="2"/>
      <c r="AL58" s="2"/>
      <c r="AM58" s="2"/>
      <c r="AN58" s="6"/>
      <c r="AO58" s="8"/>
    </row>
    <row r="59" spans="1:41" x14ac:dyDescent="0.25">
      <c r="A59" s="3"/>
      <c r="B59" s="2"/>
      <c r="C59" s="2"/>
      <c r="D59" s="6"/>
      <c r="E59" s="6"/>
      <c r="F59" s="6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10"/>
      <c r="AI59" s="10"/>
      <c r="AJ59" s="2"/>
      <c r="AK59" s="2"/>
      <c r="AL59" s="2"/>
      <c r="AM59" s="2"/>
      <c r="AN59" s="6"/>
      <c r="AO59" s="8"/>
    </row>
    <row r="60" spans="1:41" ht="12" thickBot="1" x14ac:dyDescent="0.3">
      <c r="A60" s="3"/>
      <c r="B60" s="5"/>
      <c r="C60" s="5"/>
      <c r="D60" s="7"/>
      <c r="E60" s="7"/>
      <c r="F60" s="7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11"/>
      <c r="AI60" s="11"/>
      <c r="AJ60" s="5"/>
      <c r="AK60" s="5"/>
      <c r="AL60" s="5"/>
      <c r="AM60" s="5"/>
      <c r="AN60" s="7"/>
      <c r="AO60" s="9"/>
    </row>
  </sheetData>
  <mergeCells count="28">
    <mergeCell ref="O2:O3"/>
    <mergeCell ref="A1:A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O2:AO3"/>
    <mergeCell ref="P2:P3"/>
    <mergeCell ref="Q2:Q3"/>
    <mergeCell ref="R2:R3"/>
    <mergeCell ref="S2:S3"/>
    <mergeCell ref="T2:T3"/>
    <mergeCell ref="U2:U3"/>
    <mergeCell ref="V2:X2"/>
    <mergeCell ref="Y2:Z2"/>
    <mergeCell ref="AA2:AC2"/>
    <mergeCell ref="AD2:AM2"/>
    <mergeCell ref="AN2:AN3"/>
  </mergeCells>
  <pageMargins left="0.5" right="0.5" top="0.75" bottom="0.75" header="0.3" footer="0.3"/>
  <pageSetup paperSize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B7ED-FA5F-484A-BFEA-79077ADEA4DD}">
  <dimension ref="A1:AO60"/>
  <sheetViews>
    <sheetView showRuler="0" topLeftCell="B1" zoomScaleNormal="100" zoomScaleSheetLayoutView="90" zoomScalePageLayoutView="80" workbookViewId="0">
      <selection activeCell="B4" sqref="B4:AO60"/>
    </sheetView>
  </sheetViews>
  <sheetFormatPr defaultColWidth="9.140625" defaultRowHeight="11.25" x14ac:dyDescent="0.25"/>
  <cols>
    <col min="1" max="1" width="9.140625" style="1" hidden="1" customWidth="1"/>
    <col min="2" max="2" width="9.7109375" style="1" customWidth="1"/>
    <col min="3" max="3" width="9.7109375" style="1" hidden="1" customWidth="1"/>
    <col min="4" max="4" width="28.7109375" style="1" customWidth="1"/>
    <col min="5" max="7" width="10.7109375" style="1" hidden="1" customWidth="1"/>
    <col min="8" max="8" width="8.28515625" style="1" customWidth="1"/>
    <col min="9" max="10" width="10.7109375" style="1" hidden="1" customWidth="1"/>
    <col min="11" max="11" width="13.28515625" style="1" hidden="1" customWidth="1"/>
    <col min="12" max="13" width="10.7109375" style="1" customWidth="1"/>
    <col min="14" max="14" width="10.7109375" style="1" hidden="1" customWidth="1"/>
    <col min="15" max="15" width="6.7109375" style="1" hidden="1" customWidth="1"/>
    <col min="16" max="16" width="10.7109375" style="1" hidden="1" customWidth="1"/>
    <col min="17" max="17" width="6.7109375" style="1" hidden="1" customWidth="1"/>
    <col min="18" max="20" width="10.7109375" style="1" hidden="1" customWidth="1"/>
    <col min="21" max="21" width="9.7109375" style="1" hidden="1" customWidth="1"/>
    <col min="22" max="22" width="6.7109375" style="1" hidden="1" customWidth="1"/>
    <col min="23" max="30" width="6.7109375" style="1" customWidth="1"/>
    <col min="31" max="32" width="6.7109375" style="1" hidden="1" customWidth="1"/>
    <col min="33" max="33" width="9.28515625" style="1" hidden="1" customWidth="1"/>
    <col min="34" max="36" width="12.7109375" style="1" hidden="1" customWidth="1"/>
    <col min="37" max="38" width="6.7109375" style="1" hidden="1" customWidth="1"/>
    <col min="39" max="39" width="7.7109375" style="1" hidden="1" customWidth="1"/>
    <col min="40" max="41" width="14.7109375" style="1" customWidth="1"/>
    <col min="42" max="42" width="9.140625" style="1" customWidth="1"/>
    <col min="43" max="16384" width="9.140625" style="1"/>
  </cols>
  <sheetData>
    <row r="1" spans="1:41" ht="1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6"/>
    </row>
    <row r="2" spans="1:41" s="12" customFormat="1" ht="11.25" customHeight="1" x14ac:dyDescent="0.25">
      <c r="A2" s="37" t="s">
        <v>1</v>
      </c>
      <c r="B2" s="28" t="s">
        <v>2</v>
      </c>
      <c r="C2" s="32" t="s">
        <v>3</v>
      </c>
      <c r="D2" s="28" t="s">
        <v>4</v>
      </c>
      <c r="E2" s="32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32" t="s">
        <v>11</v>
      </c>
      <c r="L2" s="32" t="s">
        <v>12</v>
      </c>
      <c r="M2" s="28" t="s">
        <v>13</v>
      </c>
      <c r="N2" s="28" t="s">
        <v>14</v>
      </c>
      <c r="O2" s="32" t="s">
        <v>15</v>
      </c>
      <c r="P2" s="32" t="s">
        <v>16</v>
      </c>
      <c r="Q2" s="32" t="s">
        <v>17</v>
      </c>
      <c r="R2" s="32" t="s">
        <v>18</v>
      </c>
      <c r="S2" s="32" t="s">
        <v>19</v>
      </c>
      <c r="T2" s="32" t="s">
        <v>20</v>
      </c>
      <c r="U2" s="28" t="s">
        <v>21</v>
      </c>
      <c r="V2" s="28" t="s">
        <v>22</v>
      </c>
      <c r="W2" s="28"/>
      <c r="X2" s="28"/>
      <c r="Y2" s="28" t="s">
        <v>23</v>
      </c>
      <c r="Z2" s="28"/>
      <c r="AA2" s="28" t="s">
        <v>24</v>
      </c>
      <c r="AB2" s="28"/>
      <c r="AC2" s="28"/>
      <c r="AD2" s="28" t="s">
        <v>25</v>
      </c>
      <c r="AE2" s="28"/>
      <c r="AF2" s="28"/>
      <c r="AG2" s="28"/>
      <c r="AH2" s="28"/>
      <c r="AI2" s="28"/>
      <c r="AJ2" s="28"/>
      <c r="AK2" s="28"/>
      <c r="AL2" s="28"/>
      <c r="AM2" s="28"/>
      <c r="AN2" s="28" t="s">
        <v>26</v>
      </c>
      <c r="AO2" s="31" t="s">
        <v>27</v>
      </c>
    </row>
    <row r="3" spans="1:41" s="12" customFormat="1" ht="33.75" x14ac:dyDescent="0.25">
      <c r="A3" s="37"/>
      <c r="B3" s="28"/>
      <c r="C3" s="33"/>
      <c r="D3" s="28"/>
      <c r="E3" s="33"/>
      <c r="F3" s="28"/>
      <c r="G3" s="28"/>
      <c r="H3" s="28"/>
      <c r="I3" s="28"/>
      <c r="J3" s="28"/>
      <c r="K3" s="33"/>
      <c r="L3" s="33"/>
      <c r="M3" s="28"/>
      <c r="N3" s="28"/>
      <c r="O3" s="33"/>
      <c r="P3" s="33"/>
      <c r="Q3" s="33"/>
      <c r="R3" s="33"/>
      <c r="S3" s="33"/>
      <c r="T3" s="33"/>
      <c r="U3" s="28"/>
      <c r="V3" s="13" t="s">
        <v>28</v>
      </c>
      <c r="W3" s="13" t="s">
        <v>29</v>
      </c>
      <c r="X3" s="13" t="s">
        <v>30</v>
      </c>
      <c r="Y3" s="13" t="s">
        <v>29</v>
      </c>
      <c r="Z3" s="13" t="s">
        <v>30</v>
      </c>
      <c r="AA3" s="13" t="s">
        <v>31</v>
      </c>
      <c r="AB3" s="13" t="s">
        <v>29</v>
      </c>
      <c r="AC3" s="13" t="s">
        <v>30</v>
      </c>
      <c r="AD3" s="13" t="s">
        <v>32</v>
      </c>
      <c r="AE3" s="13" t="s">
        <v>33</v>
      </c>
      <c r="AF3" s="13" t="s">
        <v>34</v>
      </c>
      <c r="AG3" s="13" t="s">
        <v>35</v>
      </c>
      <c r="AH3" s="13" t="s">
        <v>36</v>
      </c>
      <c r="AI3" s="13" t="s">
        <v>37</v>
      </c>
      <c r="AJ3" s="13" t="s">
        <v>38</v>
      </c>
      <c r="AK3" s="13" t="s">
        <v>39</v>
      </c>
      <c r="AL3" s="13" t="s">
        <v>40</v>
      </c>
      <c r="AM3" s="13" t="s">
        <v>41</v>
      </c>
      <c r="AN3" s="28"/>
      <c r="AO3" s="31"/>
    </row>
    <row r="4" spans="1:41" x14ac:dyDescent="0.25">
      <c r="A4" s="3"/>
      <c r="B4" s="2"/>
      <c r="C4" s="2"/>
      <c r="D4" s="6"/>
      <c r="E4" s="6"/>
      <c r="F4" s="6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10"/>
      <c r="AI4" s="10"/>
      <c r="AJ4" s="2"/>
      <c r="AK4" s="2"/>
      <c r="AL4" s="2"/>
      <c r="AM4" s="2"/>
      <c r="AN4" s="6"/>
      <c r="AO4" s="8"/>
    </row>
    <row r="5" spans="1:41" x14ac:dyDescent="0.25">
      <c r="A5" s="3"/>
      <c r="B5" s="2"/>
      <c r="C5" s="2"/>
      <c r="D5" s="6"/>
      <c r="E5" s="6"/>
      <c r="F5" s="6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"/>
      <c r="AI5" s="10"/>
      <c r="AJ5" s="2"/>
      <c r="AK5" s="2"/>
      <c r="AL5" s="2"/>
      <c r="AM5" s="2"/>
      <c r="AN5" s="6"/>
      <c r="AO5" s="8"/>
    </row>
    <row r="6" spans="1:41" x14ac:dyDescent="0.25">
      <c r="A6" s="3"/>
      <c r="B6" s="2"/>
      <c r="C6" s="2"/>
      <c r="D6" s="6"/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0"/>
      <c r="AI6" s="10"/>
      <c r="AJ6" s="2"/>
      <c r="AK6" s="2"/>
      <c r="AL6" s="2"/>
      <c r="AM6" s="2"/>
      <c r="AN6" s="6"/>
      <c r="AO6" s="8"/>
    </row>
    <row r="7" spans="1:41" x14ac:dyDescent="0.25">
      <c r="A7" s="3"/>
      <c r="B7" s="2"/>
      <c r="C7" s="2"/>
      <c r="D7" s="6"/>
      <c r="E7" s="6"/>
      <c r="F7" s="6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10"/>
      <c r="AI7" s="10"/>
      <c r="AJ7" s="2"/>
      <c r="AK7" s="2"/>
      <c r="AL7" s="2"/>
      <c r="AM7" s="2"/>
      <c r="AN7" s="6"/>
      <c r="AO7" s="8"/>
    </row>
    <row r="8" spans="1:41" x14ac:dyDescent="0.25">
      <c r="A8" s="3"/>
      <c r="B8" s="2"/>
      <c r="C8" s="2"/>
      <c r="D8" s="6"/>
      <c r="E8" s="6"/>
      <c r="F8" s="6"/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10"/>
      <c r="AI8" s="10"/>
      <c r="AJ8" s="2"/>
      <c r="AK8" s="2"/>
      <c r="AL8" s="2"/>
      <c r="AM8" s="2"/>
      <c r="AN8" s="6"/>
      <c r="AO8" s="8"/>
    </row>
    <row r="9" spans="1:41" x14ac:dyDescent="0.25">
      <c r="A9" s="3"/>
      <c r="B9" s="2"/>
      <c r="C9" s="2"/>
      <c r="D9" s="6"/>
      <c r="E9" s="6"/>
      <c r="F9" s="6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0"/>
      <c r="AI9" s="10"/>
      <c r="AJ9" s="2"/>
      <c r="AK9" s="2"/>
      <c r="AL9" s="2"/>
      <c r="AM9" s="2"/>
      <c r="AN9" s="6"/>
      <c r="AO9" s="8"/>
    </row>
    <row r="10" spans="1:41" x14ac:dyDescent="0.25">
      <c r="A10" s="3"/>
      <c r="B10" s="2"/>
      <c r="C10" s="2"/>
      <c r="D10" s="6"/>
      <c r="E10" s="6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0"/>
      <c r="AI10" s="10"/>
      <c r="AJ10" s="2"/>
      <c r="AK10" s="2"/>
      <c r="AL10" s="2"/>
      <c r="AM10" s="2"/>
      <c r="AN10" s="6"/>
      <c r="AO10" s="8"/>
    </row>
    <row r="11" spans="1:41" x14ac:dyDescent="0.25">
      <c r="A11" s="3"/>
      <c r="B11" s="2"/>
      <c r="C11" s="2"/>
      <c r="D11" s="6"/>
      <c r="E11" s="6"/>
      <c r="F11" s="6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0"/>
      <c r="AI11" s="10"/>
      <c r="AJ11" s="2"/>
      <c r="AK11" s="2"/>
      <c r="AL11" s="2"/>
      <c r="AM11" s="2"/>
      <c r="AN11" s="6"/>
      <c r="AO11" s="8"/>
    </row>
    <row r="12" spans="1:41" x14ac:dyDescent="0.25">
      <c r="A12" s="3"/>
      <c r="B12" s="2"/>
      <c r="C12" s="2"/>
      <c r="D12" s="6"/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0"/>
      <c r="AI12" s="10"/>
      <c r="AJ12" s="2"/>
      <c r="AK12" s="2"/>
      <c r="AL12" s="2"/>
      <c r="AM12" s="2"/>
      <c r="AN12" s="6"/>
      <c r="AO12" s="8"/>
    </row>
    <row r="13" spans="1:41" x14ac:dyDescent="0.25">
      <c r="A13" s="3"/>
      <c r="B13" s="2"/>
      <c r="C13" s="2"/>
      <c r="D13" s="6"/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0"/>
      <c r="AI13" s="10"/>
      <c r="AJ13" s="2"/>
      <c r="AK13" s="2"/>
      <c r="AL13" s="2"/>
      <c r="AM13" s="2"/>
      <c r="AN13" s="6"/>
      <c r="AO13" s="8"/>
    </row>
    <row r="14" spans="1:41" x14ac:dyDescent="0.25">
      <c r="A14" s="3"/>
      <c r="B14" s="2"/>
      <c r="C14" s="2"/>
      <c r="D14" s="6"/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0"/>
      <c r="AI14" s="10"/>
      <c r="AJ14" s="2"/>
      <c r="AK14" s="2"/>
      <c r="AL14" s="2"/>
      <c r="AM14" s="2"/>
      <c r="AN14" s="6"/>
      <c r="AO14" s="8"/>
    </row>
    <row r="15" spans="1:41" x14ac:dyDescent="0.25">
      <c r="A15" s="3"/>
      <c r="B15" s="2"/>
      <c r="C15" s="2"/>
      <c r="D15" s="6"/>
      <c r="E15" s="6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0"/>
      <c r="AI15" s="10"/>
      <c r="AJ15" s="2"/>
      <c r="AK15" s="2"/>
      <c r="AL15" s="2"/>
      <c r="AM15" s="2"/>
      <c r="AN15" s="6"/>
      <c r="AO15" s="8"/>
    </row>
    <row r="16" spans="1:41" ht="12" thickBot="1" x14ac:dyDescent="0.3">
      <c r="A16" s="4"/>
      <c r="B16" s="2"/>
      <c r="C16" s="2"/>
      <c r="D16" s="6"/>
      <c r="E16" s="6"/>
      <c r="F16" s="6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5"/>
      <c r="AF16" s="5"/>
      <c r="AG16" s="5"/>
      <c r="AH16" s="11"/>
      <c r="AI16" s="11"/>
      <c r="AJ16" s="5"/>
      <c r="AK16" s="5"/>
      <c r="AL16" s="5"/>
      <c r="AM16" s="5"/>
      <c r="AN16" s="6"/>
      <c r="AO16" s="8"/>
    </row>
    <row r="17" spans="2:41" x14ac:dyDescent="0.25">
      <c r="B17" s="2"/>
      <c r="C17" s="2"/>
      <c r="D17" s="6"/>
      <c r="E17" s="6"/>
      <c r="F17" s="6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N17" s="6"/>
      <c r="AO17" s="8"/>
    </row>
    <row r="18" spans="2:41" x14ac:dyDescent="0.25">
      <c r="B18" s="2"/>
      <c r="C18" s="2"/>
      <c r="D18" s="6"/>
      <c r="E18" s="6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N18" s="6"/>
      <c r="AO18" s="8"/>
    </row>
    <row r="19" spans="2:41" x14ac:dyDescent="0.25">
      <c r="B19" s="2"/>
      <c r="C19" s="2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N19" s="6"/>
      <c r="AO19" s="8"/>
    </row>
    <row r="20" spans="2:41" x14ac:dyDescent="0.25">
      <c r="B20" s="2"/>
      <c r="C20" s="2"/>
      <c r="D20" s="6"/>
      <c r="E20" s="6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N20" s="6"/>
      <c r="AO20" s="8"/>
    </row>
    <row r="21" spans="2:41" x14ac:dyDescent="0.25">
      <c r="B21" s="2"/>
      <c r="C21" s="2"/>
      <c r="D21" s="6"/>
      <c r="E21" s="6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N21" s="6"/>
      <c r="AO21" s="8"/>
    </row>
    <row r="22" spans="2:41" x14ac:dyDescent="0.25">
      <c r="B22" s="2"/>
      <c r="C22" s="2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N22" s="6"/>
      <c r="AO22" s="8"/>
    </row>
    <row r="23" spans="2:41" x14ac:dyDescent="0.25">
      <c r="B23" s="2"/>
      <c r="C23" s="2"/>
      <c r="D23" s="6"/>
      <c r="E23" s="6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N23" s="6"/>
      <c r="AO23" s="8"/>
    </row>
    <row r="24" spans="2:41" x14ac:dyDescent="0.25">
      <c r="B24" s="2"/>
      <c r="C24" s="2"/>
      <c r="D24" s="6"/>
      <c r="E24" s="6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N24" s="6"/>
      <c r="AO24" s="8"/>
    </row>
    <row r="25" spans="2:41" x14ac:dyDescent="0.25">
      <c r="B25" s="2"/>
      <c r="C25" s="2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N25" s="6"/>
      <c r="AO25" s="8"/>
    </row>
    <row r="26" spans="2:41" x14ac:dyDescent="0.25">
      <c r="B26" s="2"/>
      <c r="C26" s="2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N26" s="6"/>
      <c r="AO26" s="8"/>
    </row>
    <row r="27" spans="2:41" x14ac:dyDescent="0.25">
      <c r="B27" s="2"/>
      <c r="C27" s="2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N27" s="6"/>
      <c r="AO27" s="8"/>
    </row>
    <row r="28" spans="2:41" x14ac:dyDescent="0.25">
      <c r="B28" s="2"/>
      <c r="C28" s="2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N28" s="6"/>
      <c r="AO28" s="8"/>
    </row>
    <row r="29" spans="2:41" x14ac:dyDescent="0.25">
      <c r="B29" s="2"/>
      <c r="C29" s="2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5"/>
      <c r="Z29" s="2"/>
      <c r="AA29" s="2"/>
      <c r="AB29" s="2"/>
      <c r="AC29" s="2"/>
      <c r="AD29" s="2"/>
      <c r="AN29" s="6"/>
      <c r="AO29" s="8"/>
    </row>
    <row r="30" spans="2:41" x14ac:dyDescent="0.25">
      <c r="B30" s="2"/>
      <c r="C30" s="2"/>
      <c r="D30" s="6"/>
      <c r="E30" s="6"/>
      <c r="F30" s="6"/>
      <c r="G30" s="6"/>
      <c r="H30" s="2"/>
      <c r="I30" s="2"/>
      <c r="J30" s="2"/>
      <c r="K30" s="2"/>
      <c r="L30" s="15"/>
      <c r="M30" s="2"/>
      <c r="N30" s="2"/>
      <c r="O30" s="2"/>
      <c r="P30" s="2"/>
      <c r="Q30" s="2"/>
      <c r="R30" s="2"/>
      <c r="S30" s="2"/>
      <c r="T30" s="2"/>
      <c r="U30" s="2"/>
      <c r="V30" s="2"/>
      <c r="W30" s="15"/>
      <c r="X30" s="2"/>
      <c r="Y30" s="2"/>
      <c r="Z30" s="2"/>
      <c r="AA30" s="2"/>
      <c r="AB30" s="2"/>
      <c r="AC30" s="2"/>
      <c r="AD30" s="2"/>
      <c r="AN30" s="6"/>
      <c r="AO30" s="8"/>
    </row>
    <row r="31" spans="2:41" x14ac:dyDescent="0.25">
      <c r="B31" s="2"/>
      <c r="C31" s="2"/>
      <c r="D31" s="6"/>
      <c r="E31" s="6"/>
      <c r="F31" s="6"/>
      <c r="G31" s="6"/>
      <c r="H31" s="2"/>
      <c r="I31" s="2"/>
      <c r="J31" s="2"/>
      <c r="K31" s="2"/>
      <c r="L31" s="15"/>
      <c r="M31" s="2"/>
      <c r="N31" s="2"/>
      <c r="O31" s="2"/>
      <c r="P31" s="2"/>
      <c r="Q31" s="2"/>
      <c r="R31" s="2"/>
      <c r="S31" s="2"/>
      <c r="T31" s="2"/>
      <c r="U31" s="2"/>
      <c r="V31" s="2"/>
      <c r="W31" s="15"/>
      <c r="X31" s="2"/>
      <c r="Y31" s="2"/>
      <c r="Z31" s="2"/>
      <c r="AA31" s="2"/>
      <c r="AB31" s="2"/>
      <c r="AC31" s="2"/>
      <c r="AD31" s="2"/>
      <c r="AN31" s="6"/>
      <c r="AO31" s="8"/>
    </row>
    <row r="32" spans="2:41" x14ac:dyDescent="0.25">
      <c r="B32" s="2"/>
      <c r="C32" s="2"/>
      <c r="D32" s="6"/>
      <c r="E32" s="6"/>
      <c r="F32" s="6"/>
      <c r="G32" s="6"/>
      <c r="H32" s="2"/>
      <c r="I32" s="2"/>
      <c r="J32" s="2"/>
      <c r="K32" s="2"/>
      <c r="L32" s="15"/>
      <c r="M32" s="2"/>
      <c r="N32" s="2"/>
      <c r="O32" s="2"/>
      <c r="P32" s="2"/>
      <c r="Q32" s="2"/>
      <c r="R32" s="2"/>
      <c r="S32" s="2"/>
      <c r="T32" s="2"/>
      <c r="U32" s="2"/>
      <c r="V32" s="2"/>
      <c r="W32" s="15"/>
      <c r="X32" s="2"/>
      <c r="Y32" s="2"/>
      <c r="Z32" s="2"/>
      <c r="AA32" s="2"/>
      <c r="AB32" s="2"/>
      <c r="AC32" s="2"/>
      <c r="AD32" s="2"/>
      <c r="AN32" s="6"/>
      <c r="AO32" s="8"/>
    </row>
    <row r="33" spans="2:41" x14ac:dyDescent="0.25">
      <c r="B33" s="2"/>
      <c r="C33" s="2"/>
      <c r="D33" s="6"/>
      <c r="E33" s="6"/>
      <c r="F33" s="6"/>
      <c r="G33" s="6"/>
      <c r="H33" s="2"/>
      <c r="I33" s="2"/>
      <c r="J33" s="2"/>
      <c r="K33" s="2"/>
      <c r="L33" s="15"/>
      <c r="M33" s="2"/>
      <c r="N33" s="2"/>
      <c r="O33" s="2"/>
      <c r="P33" s="2"/>
      <c r="Q33" s="2"/>
      <c r="R33" s="2"/>
      <c r="S33" s="2"/>
      <c r="T33" s="2"/>
      <c r="U33" s="2"/>
      <c r="V33" s="2"/>
      <c r="W33" s="15"/>
      <c r="X33" s="2"/>
      <c r="Y33" s="2"/>
      <c r="Z33" s="2"/>
      <c r="AA33" s="2"/>
      <c r="AB33" s="2"/>
      <c r="AC33" s="2"/>
      <c r="AD33" s="2"/>
      <c r="AN33" s="6"/>
      <c r="AO33" s="8"/>
    </row>
    <row r="34" spans="2:41" x14ac:dyDescent="0.25">
      <c r="B34" s="2"/>
      <c r="C34" s="2"/>
      <c r="D34" s="6"/>
      <c r="E34" s="6"/>
      <c r="F34" s="6"/>
      <c r="G34" s="6"/>
      <c r="H34" s="2"/>
      <c r="I34" s="2"/>
      <c r="J34" s="2"/>
      <c r="K34" s="2"/>
      <c r="L34" s="15"/>
      <c r="M34" s="2"/>
      <c r="N34" s="2"/>
      <c r="O34" s="2"/>
      <c r="P34" s="2"/>
      <c r="Q34" s="2"/>
      <c r="R34" s="2"/>
      <c r="S34" s="2"/>
      <c r="T34" s="2"/>
      <c r="U34" s="2"/>
      <c r="V34" s="2"/>
      <c r="W34" s="15"/>
      <c r="X34" s="2"/>
      <c r="Y34" s="2"/>
      <c r="Z34" s="2"/>
      <c r="AA34" s="2"/>
      <c r="AB34" s="2"/>
      <c r="AC34" s="2"/>
      <c r="AD34" s="2"/>
      <c r="AN34" s="6"/>
      <c r="AO34" s="8"/>
    </row>
    <row r="35" spans="2:41" x14ac:dyDescent="0.25">
      <c r="B35" s="2"/>
      <c r="C35" s="2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N35" s="6"/>
      <c r="AO35" s="8"/>
    </row>
    <row r="36" spans="2:41" x14ac:dyDescent="0.25">
      <c r="B36" s="2"/>
      <c r="C36" s="2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N36" s="6"/>
      <c r="AO36" s="8"/>
    </row>
    <row r="37" spans="2:41" x14ac:dyDescent="0.25">
      <c r="B37" s="2"/>
      <c r="C37" s="2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N37" s="6"/>
      <c r="AO37" s="8"/>
    </row>
    <row r="38" spans="2:41" x14ac:dyDescent="0.25">
      <c r="B38" s="2"/>
      <c r="C38" s="2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N38" s="6"/>
      <c r="AO38" s="8"/>
    </row>
    <row r="39" spans="2:41" x14ac:dyDescent="0.25">
      <c r="B39" s="2"/>
      <c r="C39" s="2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N39" s="6"/>
      <c r="AO39" s="8"/>
    </row>
    <row r="40" spans="2:41" x14ac:dyDescent="0.25">
      <c r="B40" s="2"/>
      <c r="C40" s="2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N40" s="6"/>
      <c r="AO40" s="8"/>
    </row>
    <row r="41" spans="2:41" x14ac:dyDescent="0.25">
      <c r="B41" s="2"/>
      <c r="C41" s="2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N41" s="6"/>
      <c r="AO41" s="8"/>
    </row>
    <row r="42" spans="2:41" x14ac:dyDescent="0.25">
      <c r="B42" s="2"/>
      <c r="C42" s="2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N42" s="6"/>
      <c r="AO42" s="8"/>
    </row>
    <row r="43" spans="2:41" x14ac:dyDescent="0.25">
      <c r="B43" s="2"/>
      <c r="C43" s="2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N43" s="6"/>
      <c r="AO43" s="8"/>
    </row>
    <row r="44" spans="2:41" x14ac:dyDescent="0.25">
      <c r="B44" s="2"/>
      <c r="C44" s="2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N44" s="6"/>
      <c r="AO44" s="8"/>
    </row>
    <row r="45" spans="2:41" x14ac:dyDescent="0.25">
      <c r="B45" s="2"/>
      <c r="C45" s="2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N45" s="6"/>
      <c r="AO45" s="8"/>
    </row>
    <row r="46" spans="2:41" x14ac:dyDescent="0.25">
      <c r="B46" s="2"/>
      <c r="C46" s="2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N46" s="6"/>
      <c r="AO46" s="8"/>
    </row>
    <row r="47" spans="2:41" x14ac:dyDescent="0.25">
      <c r="B47" s="2"/>
      <c r="C47" s="2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N47" s="6"/>
      <c r="AO47" s="8"/>
    </row>
    <row r="48" spans="2:41" x14ac:dyDescent="0.25">
      <c r="B48" s="2"/>
      <c r="C48" s="2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N48" s="6"/>
      <c r="AO48" s="8"/>
    </row>
    <row r="49" spans="1:41" x14ac:dyDescent="0.25">
      <c r="B49" s="2"/>
      <c r="C49" s="2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N49" s="6"/>
      <c r="AO49" s="8"/>
    </row>
    <row r="50" spans="1:41" x14ac:dyDescent="0.25">
      <c r="B50" s="2"/>
      <c r="C50" s="2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N50" s="6"/>
      <c r="AO50" s="8"/>
    </row>
    <row r="51" spans="1:41" x14ac:dyDescent="0.25">
      <c r="B51" s="2"/>
      <c r="C51" s="2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N51" s="6"/>
      <c r="AO51" s="8"/>
    </row>
    <row r="52" spans="1:41" x14ac:dyDescent="0.25">
      <c r="B52" s="2"/>
      <c r="C52" s="2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N52" s="6"/>
      <c r="AO52" s="8"/>
    </row>
    <row r="53" spans="1:41" x14ac:dyDescent="0.25">
      <c r="B53" s="2"/>
      <c r="C53" s="2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N53" s="6"/>
      <c r="AO53" s="8"/>
    </row>
    <row r="54" spans="1:41" x14ac:dyDescent="0.25">
      <c r="B54" s="2"/>
      <c r="C54" s="2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N54" s="6"/>
      <c r="AO54" s="8"/>
    </row>
    <row r="55" spans="1:41" x14ac:dyDescent="0.25">
      <c r="B55" s="2"/>
      <c r="C55" s="2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N55" s="6"/>
      <c r="AO55" s="8"/>
    </row>
    <row r="56" spans="1:41" x14ac:dyDescent="0.25">
      <c r="B56" s="2"/>
      <c r="C56" s="2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N56" s="6"/>
      <c r="AO56" s="8"/>
    </row>
    <row r="57" spans="1:41" x14ac:dyDescent="0.25">
      <c r="B57" s="2"/>
      <c r="C57" s="2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N57" s="6"/>
      <c r="AO57" s="8"/>
    </row>
    <row r="58" spans="1:41" x14ac:dyDescent="0.25">
      <c r="B58" s="2"/>
      <c r="C58" s="2"/>
      <c r="D58" s="6"/>
      <c r="E58" s="6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N58" s="6"/>
      <c r="AO58" s="8"/>
    </row>
    <row r="59" spans="1:41" x14ac:dyDescent="0.25">
      <c r="B59" s="2"/>
      <c r="C59" s="2"/>
      <c r="D59" s="6"/>
      <c r="E59" s="6"/>
      <c r="F59" s="6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N59" s="6"/>
      <c r="AO59" s="8"/>
    </row>
    <row r="60" spans="1:41" ht="12" thickBot="1" x14ac:dyDescent="0.3">
      <c r="A60" s="14"/>
      <c r="B60" s="5"/>
      <c r="C60" s="5"/>
      <c r="D60" s="7"/>
      <c r="E60" s="7"/>
      <c r="F60" s="7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14"/>
      <c r="AF60" s="14"/>
      <c r="AG60" s="14"/>
      <c r="AH60" s="14"/>
      <c r="AI60" s="14"/>
      <c r="AJ60" s="14"/>
      <c r="AK60" s="14"/>
      <c r="AL60" s="14"/>
      <c r="AM60" s="14"/>
      <c r="AN60" s="7"/>
      <c r="AO60" s="9"/>
    </row>
  </sheetData>
  <mergeCells count="28">
    <mergeCell ref="O2:O3"/>
    <mergeCell ref="A1:A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O2:AO3"/>
    <mergeCell ref="P2:P3"/>
    <mergeCell ref="Q2:Q3"/>
    <mergeCell ref="R2:R3"/>
    <mergeCell ref="S2:S3"/>
    <mergeCell ref="T2:T3"/>
    <mergeCell ref="U2:U3"/>
    <mergeCell ref="V2:X2"/>
    <mergeCell ref="Y2:Z2"/>
    <mergeCell ref="AA2:AC2"/>
    <mergeCell ref="AD2:AM2"/>
    <mergeCell ref="AN2:AN3"/>
  </mergeCells>
  <pageMargins left="0.5" right="0.5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292BD546-D1C6-4AF4-BEC8-80221B2630EB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2.xml><?xml version="1.0" encoding="utf-8"?>
<ds:datastoreItem xmlns:ds="http://schemas.openxmlformats.org/officeDocument/2006/customXml" ds:itemID="{395FC5AF-1863-46A2-B166-3CBB792C55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375CA-3FDE-4B87-AD78-DE15D3C83C54}"/>
</file>

<file path=customXml/itemProps4.xml><?xml version="1.0" encoding="utf-8"?>
<ds:datastoreItem xmlns:ds="http://schemas.openxmlformats.org/officeDocument/2006/customXml" ds:itemID="{A5D0901E-1186-4F71-BEBF-58FC198560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Jeniffer Castillo</cp:lastModifiedBy>
  <cp:lastPrinted>2023-02-07T23:42:43Z</cp:lastPrinted>
  <dcterms:created xsi:type="dcterms:W3CDTF">2019-12-17T15:58:45Z</dcterms:created>
  <dcterms:modified xsi:type="dcterms:W3CDTF">2026-02-02T16:49:58Z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