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194" documentId="13_ncr:1_{BD4A82DB-7192-4175-AA77-A408D5F12D05}" xr6:coauthVersionLast="47" xr6:coauthVersionMax="47" xr10:uidLastSave="{A7BA1ABB-8191-45C4-AC22-2DDDD19DFB5F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0" i="1"/>
  <c r="M9" i="1"/>
  <c r="M8" i="1"/>
  <c r="M7" i="1"/>
  <c r="M6" i="1"/>
  <c r="M5" i="1"/>
  <c r="M4" i="1"/>
  <c r="W5" i="1" l="1"/>
  <c r="W6" i="1"/>
  <c r="W7" i="1"/>
  <c r="W8" i="1"/>
  <c r="W9" i="1"/>
  <c r="W10" i="1"/>
  <c r="W11" i="1"/>
  <c r="W4" i="1"/>
  <c r="N7" i="1"/>
  <c r="O7" i="1"/>
  <c r="P7" i="1"/>
  <c r="Q7" i="1"/>
  <c r="R7" i="1"/>
  <c r="S7" i="1"/>
  <c r="T7" i="1"/>
  <c r="U7" i="1"/>
  <c r="V7" i="1"/>
  <c r="Y8" i="1" l="1"/>
  <c r="Y4" i="1"/>
</calcChain>
</file>

<file path=xl/sharedStrings.xml><?xml version="1.0" encoding="utf-8"?>
<sst xmlns="http://schemas.openxmlformats.org/spreadsheetml/2006/main" count="62" uniqueCount="49">
  <si>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</si>
  <si>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</si>
  <si>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</si>
  <si>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</si>
  <si>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</si>
  <si>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</si>
  <si>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</si>
  <si>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</si>
  <si>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</si>
  <si>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</si>
  <si>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</si>
  <si>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</si>
  <si>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</si>
  <si>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</si>
  <si>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</si>
  <si>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</si>
  <si>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</si>
  <si>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</si>
  <si>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</si>
  <si>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</si>
  <si>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</si>
  <si>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</si>
  <si>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</si>
  <si>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</si>
  <si>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</si>
  <si>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</si>
  <si>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</si>
  <si>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</si>
  <si>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</si>
  <si>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</si>
  <si>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</si>
  <si>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</si>
  <si>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</si>
  <si>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</si>
  <si>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</si>
  <si>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</si>
  <si>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</si>
  <si>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</si>
  <si>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</si>
  <si>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</si>
  <si>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</si>
  <si>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TEMPORARY SIGNALIZATION AND MAINTENANCE, INTERSECTION</t>
  </si>
  <si>
    <t>ED</t>
  </si>
  <si>
    <t>TEMPORARY TRAFFIC DETECTION AND MAINTENANCE, INTERSECTION</t>
  </si>
  <si>
    <t>E</t>
  </si>
  <si>
    <t>102 104</t>
  </si>
  <si>
    <t>102 107 1</t>
  </si>
  <si>
    <t>Summary of Temporary Signalization and Detection - 443913-1-52-01</t>
  </si>
  <si>
    <t>3 Intersections at 270 Construction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</si>
</sst>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alassociates.sharepoint.com/Shared%20Documents/Projects/2023/GA23036%20-%20D6%20SR%20886%20Port%20Blvd/05%20Analysis/MOT_Calculations.xlsx" TargetMode="External"/><Relationship Id="rId1" Type="http://schemas.openxmlformats.org/officeDocument/2006/relationships/externalLinkPath" Target="/Shared%20Documents/Projects/2023/GA23036%20-%20D6%20SR%20886%20Port%20Blvd/05%20Analysis/MOT_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ys of Construction"/>
      <sheetName val="102-14"/>
      <sheetName val="102-60"/>
      <sheetName val="102-74-1"/>
      <sheetName val="102-76"/>
      <sheetName val="102-115"/>
      <sheetName val="706-1-3"/>
      <sheetName val="710-11-101"/>
      <sheetName val="710-11-131"/>
      <sheetName val="710-11-141"/>
      <sheetName val="710-11-201"/>
    </sheetNames>
    <sheetDataSet>
      <sheetData sheetId="0"/>
      <sheetData sheetId="1">
        <row r="2">
          <cell r="L2">
            <v>90</v>
          </cell>
        </row>
        <row r="3">
          <cell r="L3">
            <v>45</v>
          </cell>
        </row>
        <row r="4">
          <cell r="L4">
            <v>45</v>
          </cell>
        </row>
        <row r="5">
          <cell r="L5">
            <v>90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1"/>
  <sheetViews>
    <sheetView tabSelected="1" showRuler="0" topLeftCell="B1" zoomScale="115" zoomScaleNormal="115" zoomScaleSheetLayoutView="90" zoomScalePageLayoutView="80" workbookViewId="0">
      <selection activeCell="M20" sqref="M20"/>
    </sheetView>
  </sheetViews>
  <sheetFormatPr defaultColWidth="9.140625" defaultRowHeight="11.25" x14ac:dyDescent="0.25"/>
  <cols>
    <col min="1" max="1" width="9.140625" style="1" hidden="1" customWidth="1"/>
    <col min="2" max="2" width="9.7109375" style="1" customWidth="1"/>
    <col min="3" max="3" width="9.7109375" style="1" hidden="1" customWidth="1"/>
    <col min="4" max="4" width="60.28515625" style="1" bestFit="1" customWidth="1"/>
    <col min="5" max="7" width="10.7109375" style="1" hidden="1" customWidth="1"/>
    <col min="8" max="8" width="8.28515625" style="1" customWidth="1"/>
    <col min="9" max="10" width="10.7109375" style="1" hidden="1" customWidth="1"/>
    <col min="11" max="11" width="13.28515625" style="1" customWidth="1"/>
    <col min="12" max="13" width="10.7109375" style="1" customWidth="1"/>
    <col min="14" max="14" width="10.7109375" style="1" hidden="1" customWidth="1"/>
    <col min="15" max="15" width="6.7109375" style="1" hidden="1" customWidth="1"/>
    <col min="16" max="16" width="10.7109375" style="1" hidden="1" customWidth="1"/>
    <col min="17" max="17" width="6.7109375" style="1" hidden="1" customWidth="1"/>
    <col min="18" max="20" width="10.7109375" style="1" hidden="1" customWidth="1"/>
    <col min="21" max="21" width="9.7109375" style="1" hidden="1" customWidth="1"/>
    <col min="22" max="22" width="6.7109375" style="1" hidden="1" customWidth="1"/>
    <col min="23" max="26" width="6.7109375" style="1" customWidth="1"/>
    <col min="27" max="29" width="6.7109375" style="1" hidden="1" customWidth="1"/>
    <col min="30" max="30" width="6.7109375" style="1" customWidth="1"/>
    <col min="31" max="32" width="6.7109375" style="1" hidden="1" customWidth="1"/>
    <col min="33" max="33" width="9.28515625" style="1" hidden="1" customWidth="1"/>
    <col min="34" max="36" width="12.7109375" style="1" hidden="1" customWidth="1"/>
    <col min="37" max="38" width="6.7109375" style="1" hidden="1" customWidth="1"/>
    <col min="39" max="39" width="7.7109375" style="1" hidden="1" customWidth="1"/>
    <col min="40" max="40" width="36.85546875" style="1" bestFit="1" customWidth="1"/>
    <col min="41" max="41" width="14.7109375" style="1" customWidth="1"/>
    <col min="42" max="42" width="9.140625" style="1" customWidth="1"/>
    <col min="43" max="16384" width="9.140625" style="1"/>
  </cols>
  <sheetData>
    <row r="1" spans="1:41" ht="15" customHeight="1" x14ac:dyDescent="0.25">
      <c r="A1" s="15" t="s">
        <v>47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7"/>
    </row>
    <row r="2" spans="1:41" s="12" customFormat="1" ht="11.25" customHeight="1" x14ac:dyDescent="0.25">
      <c r="A2" s="18" t="s">
        <v>0</v>
      </c>
      <c r="B2" s="21" t="s">
        <v>1</v>
      </c>
      <c r="C2" s="19" t="s">
        <v>2</v>
      </c>
      <c r="D2" s="21" t="s">
        <v>3</v>
      </c>
      <c r="E2" s="19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19" t="s">
        <v>10</v>
      </c>
      <c r="L2" s="19" t="s">
        <v>11</v>
      </c>
      <c r="M2" s="21" t="s">
        <v>12</v>
      </c>
      <c r="N2" s="21" t="s">
        <v>13</v>
      </c>
      <c r="O2" s="19" t="s">
        <v>14</v>
      </c>
      <c r="P2" s="19" t="s">
        <v>15</v>
      </c>
      <c r="Q2" s="19" t="s">
        <v>16</v>
      </c>
      <c r="R2" s="19" t="s">
        <v>17</v>
      </c>
      <c r="S2" s="19" t="s">
        <v>18</v>
      </c>
      <c r="T2" s="19" t="s">
        <v>19</v>
      </c>
      <c r="U2" s="21" t="s">
        <v>20</v>
      </c>
      <c r="V2" s="21" t="s">
        <v>21</v>
      </c>
      <c r="W2" s="21"/>
      <c r="X2" s="21"/>
      <c r="Y2" s="21" t="s">
        <v>22</v>
      </c>
      <c r="Z2" s="21"/>
      <c r="AA2" s="21" t="s">
        <v>23</v>
      </c>
      <c r="AB2" s="21"/>
      <c r="AC2" s="21"/>
      <c r="AD2" s="21" t="s">
        <v>24</v>
      </c>
      <c r="AE2" s="21"/>
      <c r="AF2" s="21"/>
      <c r="AG2" s="21"/>
      <c r="AH2" s="21"/>
      <c r="AI2" s="21"/>
      <c r="AJ2" s="21"/>
      <c r="AK2" s="21"/>
      <c r="AL2" s="21"/>
      <c r="AM2" s="21"/>
      <c r="AN2" s="21" t="s">
        <v>25</v>
      </c>
      <c r="AO2" s="22" t="s">
        <v>26</v>
      </c>
    </row>
    <row r="3" spans="1:41" s="12" customFormat="1" ht="33.75" x14ac:dyDescent="0.25">
      <c r="A3" s="18"/>
      <c r="B3" s="21"/>
      <c r="C3" s="20"/>
      <c r="D3" s="21"/>
      <c r="E3" s="20"/>
      <c r="F3" s="21"/>
      <c r="G3" s="21"/>
      <c r="H3" s="21"/>
      <c r="I3" s="21"/>
      <c r="J3" s="21"/>
      <c r="K3" s="20"/>
      <c r="L3" s="20"/>
      <c r="M3" s="21"/>
      <c r="N3" s="21"/>
      <c r="O3" s="20"/>
      <c r="P3" s="20"/>
      <c r="Q3" s="20"/>
      <c r="R3" s="20"/>
      <c r="S3" s="20"/>
      <c r="T3" s="20"/>
      <c r="U3" s="21"/>
      <c r="V3" s="13" t="s">
        <v>27</v>
      </c>
      <c r="W3" s="13" t="s">
        <v>28</v>
      </c>
      <c r="X3" s="13" t="s">
        <v>29</v>
      </c>
      <c r="Y3" s="13" t="s">
        <v>28</v>
      </c>
      <c r="Z3" s="13" t="s">
        <v>29</v>
      </c>
      <c r="AA3" s="13" t="s">
        <v>30</v>
      </c>
      <c r="AB3" s="13" t="s">
        <v>28</v>
      </c>
      <c r="AC3" s="13" t="s">
        <v>29</v>
      </c>
      <c r="AD3" s="13" t="s">
        <v>31</v>
      </c>
      <c r="AE3" s="13" t="s">
        <v>32</v>
      </c>
      <c r="AF3" s="13" t="s">
        <v>33</v>
      </c>
      <c r="AG3" s="13" t="s">
        <v>34</v>
      </c>
      <c r="AH3" s="13" t="s">
        <v>35</v>
      </c>
      <c r="AI3" s="13" t="s">
        <v>36</v>
      </c>
      <c r="AJ3" s="13" t="s">
        <v>37</v>
      </c>
      <c r="AK3" s="13" t="s">
        <v>38</v>
      </c>
      <c r="AL3" s="13" t="s">
        <v>39</v>
      </c>
      <c r="AM3" s="13" t="s">
        <v>40</v>
      </c>
      <c r="AN3" s="21"/>
      <c r="AO3" s="22"/>
    </row>
    <row r="4" spans="1:41" ht="11.25" customHeight="1" x14ac:dyDescent="0.25">
      <c r="A4" s="3"/>
      <c r="B4" s="2" t="s">
        <v>45</v>
      </c>
      <c r="C4" s="2"/>
      <c r="D4" s="6" t="s">
        <v>41</v>
      </c>
      <c r="E4" s="6"/>
      <c r="F4" s="6"/>
      <c r="G4" s="6"/>
      <c r="H4" s="2" t="s">
        <v>42</v>
      </c>
      <c r="I4" s="2"/>
      <c r="J4" s="2"/>
      <c r="K4" s="2" t="s">
        <v>44</v>
      </c>
      <c r="L4" s="2">
        <v>3</v>
      </c>
      <c r="M4" s="14">
        <f>'[1]102-14'!$L$2</f>
        <v>90</v>
      </c>
      <c r="N4" s="2"/>
      <c r="O4" s="2"/>
      <c r="P4" s="2"/>
      <c r="Q4" s="2"/>
      <c r="R4" s="2"/>
      <c r="S4" s="2"/>
      <c r="T4" s="2"/>
      <c r="U4" s="2"/>
      <c r="V4" s="2"/>
      <c r="W4" s="2">
        <f>L4*M4</f>
        <v>270</v>
      </c>
      <c r="X4" s="2"/>
      <c r="Y4" s="2">
        <f>SUM(W4:W7)</f>
        <v>810</v>
      </c>
      <c r="Z4" s="2"/>
      <c r="AA4" s="2"/>
      <c r="AB4" s="2"/>
      <c r="AC4" s="2"/>
      <c r="AD4" s="2">
        <v>1</v>
      </c>
      <c r="AE4" s="2"/>
      <c r="AF4" s="2"/>
      <c r="AG4" s="2"/>
      <c r="AH4" s="10"/>
      <c r="AI4" s="10"/>
      <c r="AJ4" s="2"/>
      <c r="AK4" s="2"/>
      <c r="AL4" s="2"/>
      <c r="AM4" s="2"/>
      <c r="AN4" s="6" t="s">
        <v>48</v>
      </c>
      <c r="AO4" s="8"/>
    </row>
    <row r="5" spans="1:41" ht="11.25" customHeight="1" x14ac:dyDescent="0.25">
      <c r="A5" s="3"/>
      <c r="B5" s="2"/>
      <c r="C5" s="2"/>
      <c r="D5" s="6"/>
      <c r="E5" s="6"/>
      <c r="F5" s="6"/>
      <c r="G5" s="6"/>
      <c r="H5" s="2"/>
      <c r="I5" s="2"/>
      <c r="J5" s="2"/>
      <c r="K5" s="2" t="s">
        <v>44</v>
      </c>
      <c r="L5" s="2">
        <v>3</v>
      </c>
      <c r="M5" s="14">
        <f>'[1]102-14'!$L$3</f>
        <v>45</v>
      </c>
      <c r="N5" s="2"/>
      <c r="O5" s="2"/>
      <c r="P5" s="2"/>
      <c r="Q5" s="2"/>
      <c r="R5" s="2"/>
      <c r="S5" s="2"/>
      <c r="T5" s="2"/>
      <c r="U5" s="2"/>
      <c r="V5" s="2"/>
      <c r="W5" s="2">
        <f t="shared" ref="W5:W11" si="0">L5*M5</f>
        <v>135</v>
      </c>
      <c r="X5" s="2"/>
      <c r="Y5" s="2"/>
      <c r="Z5" s="2"/>
      <c r="AA5" s="2"/>
      <c r="AB5" s="2"/>
      <c r="AC5" s="2"/>
      <c r="AD5" s="2">
        <v>2</v>
      </c>
      <c r="AE5" s="2"/>
      <c r="AF5" s="2"/>
      <c r="AG5" s="2"/>
      <c r="AH5" s="10"/>
      <c r="AI5" s="10"/>
      <c r="AJ5" s="2"/>
      <c r="AK5" s="2"/>
      <c r="AL5" s="2"/>
      <c r="AM5" s="2"/>
      <c r="AN5" s="6"/>
      <c r="AO5" s="8"/>
    </row>
    <row r="6" spans="1:41" ht="11.25" customHeight="1" x14ac:dyDescent="0.25">
      <c r="A6" s="3"/>
      <c r="B6" s="2"/>
      <c r="C6" s="2"/>
      <c r="D6" s="6"/>
      <c r="E6" s="6"/>
      <c r="F6" s="6"/>
      <c r="G6" s="6"/>
      <c r="H6" s="2"/>
      <c r="I6" s="2"/>
      <c r="J6" s="2"/>
      <c r="K6" s="2" t="s">
        <v>44</v>
      </c>
      <c r="L6" s="2">
        <v>3</v>
      </c>
      <c r="M6" s="14">
        <f>'[1]102-14'!$L$4</f>
        <v>45</v>
      </c>
      <c r="N6" s="2"/>
      <c r="O6" s="2"/>
      <c r="P6" s="2"/>
      <c r="Q6" s="2"/>
      <c r="R6" s="2"/>
      <c r="S6" s="2"/>
      <c r="T6" s="2"/>
      <c r="U6" s="2"/>
      <c r="V6" s="2"/>
      <c r="W6" s="2">
        <f t="shared" si="0"/>
        <v>135</v>
      </c>
      <c r="X6" s="2"/>
      <c r="Y6" s="2"/>
      <c r="Z6" s="2"/>
      <c r="AA6" s="2"/>
      <c r="AB6" s="2"/>
      <c r="AC6" s="2"/>
      <c r="AD6" s="2">
        <v>3</v>
      </c>
      <c r="AE6" s="2"/>
      <c r="AF6" s="2"/>
      <c r="AG6" s="2"/>
      <c r="AH6" s="10"/>
      <c r="AI6" s="10"/>
      <c r="AJ6" s="2"/>
      <c r="AK6" s="2"/>
      <c r="AL6" s="2"/>
      <c r="AM6" s="2"/>
      <c r="AN6" s="6"/>
      <c r="AO6" s="8"/>
    </row>
    <row r="7" spans="1:41" ht="11.25" customHeight="1" x14ac:dyDescent="0.25">
      <c r="A7" s="3"/>
      <c r="B7" s="2"/>
      <c r="C7" s="2"/>
      <c r="D7" s="6"/>
      <c r="E7" s="6"/>
      <c r="F7" s="6"/>
      <c r="G7" s="6"/>
      <c r="H7" s="2"/>
      <c r="I7" s="2"/>
      <c r="J7" s="2"/>
      <c r="K7" s="2" t="s">
        <v>44</v>
      </c>
      <c r="L7" s="2">
        <v>3</v>
      </c>
      <c r="M7" s="14">
        <f>'[1]102-14'!$L$5</f>
        <v>90</v>
      </c>
      <c r="N7" s="2">
        <f t="shared" ref="N7:V7" si="1">240/4</f>
        <v>60</v>
      </c>
      <c r="O7" s="2">
        <f t="shared" si="1"/>
        <v>60</v>
      </c>
      <c r="P7" s="2">
        <f t="shared" si="1"/>
        <v>60</v>
      </c>
      <c r="Q7" s="2">
        <f t="shared" si="1"/>
        <v>60</v>
      </c>
      <c r="R7" s="2">
        <f t="shared" si="1"/>
        <v>60</v>
      </c>
      <c r="S7" s="2">
        <f t="shared" si="1"/>
        <v>60</v>
      </c>
      <c r="T7" s="2">
        <f t="shared" si="1"/>
        <v>60</v>
      </c>
      <c r="U7" s="2">
        <f t="shared" si="1"/>
        <v>60</v>
      </c>
      <c r="V7" s="2">
        <f t="shared" si="1"/>
        <v>60</v>
      </c>
      <c r="W7" s="2">
        <f t="shared" si="0"/>
        <v>270</v>
      </c>
      <c r="X7" s="2"/>
      <c r="Y7" s="2"/>
      <c r="Z7" s="2"/>
      <c r="AA7" s="2"/>
      <c r="AB7" s="2"/>
      <c r="AC7" s="2"/>
      <c r="AD7" s="2">
        <v>4</v>
      </c>
      <c r="AE7" s="2"/>
      <c r="AF7" s="2"/>
      <c r="AG7" s="2"/>
      <c r="AH7" s="10"/>
      <c r="AI7" s="10"/>
      <c r="AJ7" s="2"/>
      <c r="AK7" s="2"/>
      <c r="AL7" s="2"/>
      <c r="AM7" s="2"/>
      <c r="AN7" s="6"/>
      <c r="AO7" s="8"/>
    </row>
    <row r="8" spans="1:41" x14ac:dyDescent="0.25">
      <c r="A8" s="3"/>
      <c r="B8" s="2" t="s">
        <v>46</v>
      </c>
      <c r="C8" s="2"/>
      <c r="D8" s="6" t="s">
        <v>43</v>
      </c>
      <c r="E8" s="6"/>
      <c r="F8" s="6"/>
      <c r="G8" s="6"/>
      <c r="H8" s="2" t="s">
        <v>42</v>
      </c>
      <c r="I8" s="2"/>
      <c r="J8" s="2"/>
      <c r="K8" s="2" t="s">
        <v>44</v>
      </c>
      <c r="L8" s="2">
        <v>3</v>
      </c>
      <c r="M8" s="14">
        <f>'[1]102-14'!$L$2</f>
        <v>90</v>
      </c>
      <c r="N8" s="2"/>
      <c r="O8" s="2"/>
      <c r="P8" s="2"/>
      <c r="Q8" s="2"/>
      <c r="R8" s="2"/>
      <c r="S8" s="2"/>
      <c r="T8" s="2"/>
      <c r="U8" s="2"/>
      <c r="V8" s="2"/>
      <c r="W8" s="2">
        <f t="shared" si="0"/>
        <v>270</v>
      </c>
      <c r="X8" s="2"/>
      <c r="Y8" s="2">
        <f>SUM(W8:W11)</f>
        <v>810</v>
      </c>
      <c r="Z8" s="2"/>
      <c r="AA8" s="2"/>
      <c r="AB8" s="2"/>
      <c r="AC8" s="2"/>
      <c r="AD8" s="2">
        <v>1</v>
      </c>
      <c r="AE8" s="2"/>
      <c r="AF8" s="2"/>
      <c r="AG8" s="2"/>
      <c r="AH8" s="10"/>
      <c r="AI8" s="10"/>
      <c r="AJ8" s="2"/>
      <c r="AK8" s="2"/>
      <c r="AL8" s="2"/>
      <c r="AM8" s="2"/>
      <c r="AN8" s="6" t="s">
        <v>48</v>
      </c>
      <c r="AO8" s="8"/>
    </row>
    <row r="9" spans="1:41" x14ac:dyDescent="0.25">
      <c r="A9" s="3"/>
      <c r="B9" s="2"/>
      <c r="C9" s="2"/>
      <c r="D9" s="6"/>
      <c r="E9" s="6"/>
      <c r="F9" s="6"/>
      <c r="G9" s="6"/>
      <c r="H9" s="2"/>
      <c r="I9" s="2"/>
      <c r="J9" s="2"/>
      <c r="K9" s="2" t="s">
        <v>44</v>
      </c>
      <c r="L9" s="2">
        <v>3</v>
      </c>
      <c r="M9" s="14">
        <f>'[1]102-14'!$L$3</f>
        <v>45</v>
      </c>
      <c r="N9" s="2"/>
      <c r="O9" s="2"/>
      <c r="P9" s="2"/>
      <c r="Q9" s="2"/>
      <c r="R9" s="2"/>
      <c r="S9" s="2"/>
      <c r="T9" s="2"/>
      <c r="U9" s="2"/>
      <c r="V9" s="2"/>
      <c r="W9" s="2">
        <f t="shared" si="0"/>
        <v>135</v>
      </c>
      <c r="X9" s="2"/>
      <c r="Y9" s="2"/>
      <c r="Z9" s="2"/>
      <c r="AA9" s="2"/>
      <c r="AB9" s="2"/>
      <c r="AC9" s="2"/>
      <c r="AD9" s="2">
        <v>2</v>
      </c>
      <c r="AE9" s="2"/>
      <c r="AF9" s="2"/>
      <c r="AG9" s="2"/>
      <c r="AH9" s="10"/>
      <c r="AI9" s="10"/>
      <c r="AJ9" s="2"/>
      <c r="AK9" s="2"/>
      <c r="AL9" s="2"/>
      <c r="AM9" s="2"/>
      <c r="AN9" s="6"/>
      <c r="AO9" s="8"/>
    </row>
    <row r="10" spans="1:41" x14ac:dyDescent="0.25">
      <c r="A10" s="3"/>
      <c r="B10" s="2"/>
      <c r="C10" s="2"/>
      <c r="D10" s="6"/>
      <c r="E10" s="6"/>
      <c r="F10" s="6"/>
      <c r="G10" s="6"/>
      <c r="H10" s="2"/>
      <c r="I10" s="2"/>
      <c r="J10" s="2"/>
      <c r="K10" s="2" t="s">
        <v>44</v>
      </c>
      <c r="L10" s="2">
        <v>3</v>
      </c>
      <c r="M10" s="14">
        <f>'[1]102-14'!$L$4</f>
        <v>45</v>
      </c>
      <c r="N10" s="2"/>
      <c r="O10" s="2"/>
      <c r="P10" s="2"/>
      <c r="Q10" s="2"/>
      <c r="R10" s="2"/>
      <c r="S10" s="2"/>
      <c r="T10" s="2"/>
      <c r="U10" s="2"/>
      <c r="V10" s="2"/>
      <c r="W10" s="2">
        <f t="shared" si="0"/>
        <v>135</v>
      </c>
      <c r="X10" s="2"/>
      <c r="Y10" s="2"/>
      <c r="Z10" s="2"/>
      <c r="AA10" s="2"/>
      <c r="AB10" s="2"/>
      <c r="AC10" s="2"/>
      <c r="AD10" s="2">
        <v>3</v>
      </c>
      <c r="AE10" s="2"/>
      <c r="AF10" s="2"/>
      <c r="AG10" s="2"/>
      <c r="AH10" s="10"/>
      <c r="AI10" s="10"/>
      <c r="AJ10" s="2"/>
      <c r="AK10" s="2"/>
      <c r="AL10" s="2"/>
      <c r="AM10" s="2"/>
      <c r="AN10" s="6"/>
      <c r="AO10" s="8"/>
    </row>
    <row r="11" spans="1:41" x14ac:dyDescent="0.25">
      <c r="A11" s="3"/>
      <c r="B11" s="2"/>
      <c r="C11" s="2"/>
      <c r="D11" s="6"/>
      <c r="E11" s="6"/>
      <c r="F11" s="6"/>
      <c r="G11" s="6"/>
      <c r="H11" s="2"/>
      <c r="I11" s="2"/>
      <c r="J11" s="2"/>
      <c r="K11" s="2" t="s">
        <v>44</v>
      </c>
      <c r="L11" s="2">
        <v>3</v>
      </c>
      <c r="M11" s="14">
        <f>'[1]102-14'!$L$5</f>
        <v>90</v>
      </c>
      <c r="N11" s="2"/>
      <c r="O11" s="2"/>
      <c r="P11" s="2"/>
      <c r="Q11" s="2"/>
      <c r="R11" s="2"/>
      <c r="S11" s="2"/>
      <c r="T11" s="2"/>
      <c r="U11" s="2"/>
      <c r="V11" s="2"/>
      <c r="W11" s="2">
        <f t="shared" si="0"/>
        <v>270</v>
      </c>
      <c r="X11" s="2"/>
      <c r="Y11" s="2"/>
      <c r="Z11" s="2"/>
      <c r="AA11" s="2"/>
      <c r="AB11" s="2"/>
      <c r="AC11" s="2"/>
      <c r="AD11" s="2">
        <v>4</v>
      </c>
      <c r="AE11" s="2"/>
      <c r="AF11" s="2"/>
      <c r="AG11" s="2"/>
      <c r="AH11" s="10"/>
      <c r="AI11" s="10"/>
      <c r="AJ11" s="2"/>
      <c r="AK11" s="2"/>
      <c r="AL11" s="2"/>
      <c r="AM11" s="2"/>
      <c r="AN11" s="6"/>
      <c r="AO11" s="8"/>
    </row>
    <row r="12" spans="1:41" x14ac:dyDescent="0.25">
      <c r="A12" s="3"/>
      <c r="B12" s="2"/>
      <c r="C12" s="2"/>
      <c r="D12" s="6"/>
      <c r="E12" s="6"/>
      <c r="F12" s="6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0"/>
      <c r="AI12" s="10"/>
      <c r="AJ12" s="2"/>
      <c r="AK12" s="2"/>
      <c r="AL12" s="2"/>
      <c r="AM12" s="2"/>
      <c r="AN12" s="6"/>
      <c r="AO12" s="8"/>
    </row>
    <row r="13" spans="1:41" x14ac:dyDescent="0.25">
      <c r="A13" s="3"/>
      <c r="B13" s="2"/>
      <c r="C13" s="2"/>
      <c r="D13" s="6"/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10"/>
      <c r="AI13" s="10"/>
      <c r="AJ13" s="2"/>
      <c r="AK13" s="2"/>
      <c r="AL13" s="2"/>
      <c r="AM13" s="2"/>
      <c r="AN13" s="6"/>
      <c r="AO13" s="8"/>
    </row>
    <row r="14" spans="1:41" x14ac:dyDescent="0.25">
      <c r="A14" s="3"/>
      <c r="B14" s="2"/>
      <c r="C14" s="2"/>
      <c r="D14" s="6"/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0"/>
      <c r="AI14" s="10"/>
      <c r="AJ14" s="2"/>
      <c r="AK14" s="2"/>
      <c r="AL14" s="2"/>
      <c r="AM14" s="2"/>
      <c r="AN14" s="6"/>
      <c r="AO14" s="8"/>
    </row>
    <row r="15" spans="1:41" x14ac:dyDescent="0.25">
      <c r="A15" s="3"/>
      <c r="B15" s="2"/>
      <c r="C15" s="2"/>
      <c r="D15" s="6"/>
      <c r="E15" s="6"/>
      <c r="F15" s="6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0"/>
      <c r="AI15" s="10"/>
      <c r="AJ15" s="2"/>
      <c r="AK15" s="2"/>
      <c r="AL15" s="2"/>
      <c r="AM15" s="2"/>
      <c r="AN15" s="6"/>
      <c r="AO15" s="8"/>
    </row>
    <row r="16" spans="1:41" x14ac:dyDescent="0.25">
      <c r="A16" s="3"/>
      <c r="B16" s="2"/>
      <c r="C16" s="2"/>
      <c r="D16" s="6"/>
      <c r="E16" s="6"/>
      <c r="F16" s="6"/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0"/>
      <c r="AI16" s="10"/>
      <c r="AJ16" s="2"/>
      <c r="AK16" s="2"/>
      <c r="AL16" s="2"/>
      <c r="AM16" s="2"/>
      <c r="AN16" s="6"/>
      <c r="AO16" s="8"/>
    </row>
    <row r="17" spans="1:41" x14ac:dyDescent="0.25">
      <c r="A17" s="3"/>
      <c r="B17" s="2"/>
      <c r="C17" s="2"/>
      <c r="D17" s="6"/>
      <c r="E17" s="6"/>
      <c r="F17" s="6"/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10"/>
      <c r="AI17" s="10"/>
      <c r="AJ17" s="2"/>
      <c r="AK17" s="2"/>
      <c r="AL17" s="2"/>
      <c r="AM17" s="2"/>
      <c r="AN17" s="6"/>
      <c r="AO17" s="8"/>
    </row>
    <row r="18" spans="1:41" x14ac:dyDescent="0.25">
      <c r="A18" s="3"/>
      <c r="B18" s="2"/>
      <c r="C18" s="2"/>
      <c r="D18" s="6"/>
      <c r="E18" s="6"/>
      <c r="F18" s="6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10"/>
      <c r="AI18" s="10"/>
      <c r="AJ18" s="2"/>
      <c r="AK18" s="2"/>
      <c r="AL18" s="2"/>
      <c r="AM18" s="2"/>
      <c r="AN18" s="6"/>
      <c r="AO18" s="8"/>
    </row>
    <row r="19" spans="1:41" x14ac:dyDescent="0.25">
      <c r="A19" s="3"/>
      <c r="B19" s="2"/>
      <c r="C19" s="2"/>
      <c r="D19" s="6"/>
      <c r="E19" s="6"/>
      <c r="F19" s="6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0"/>
      <c r="AI19" s="10"/>
      <c r="AJ19" s="2"/>
      <c r="AK19" s="2"/>
      <c r="AL19" s="2"/>
      <c r="AM19" s="2"/>
      <c r="AN19" s="6"/>
      <c r="AO19" s="8"/>
    </row>
    <row r="20" spans="1:41" x14ac:dyDescent="0.25">
      <c r="A20" s="3"/>
      <c r="B20" s="2"/>
      <c r="C20" s="2"/>
      <c r="D20" s="6"/>
      <c r="E20" s="6"/>
      <c r="F20" s="6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10"/>
      <c r="AI20" s="10"/>
      <c r="AJ20" s="2"/>
      <c r="AK20" s="2"/>
      <c r="AL20" s="2"/>
      <c r="AM20" s="2"/>
      <c r="AN20" s="6"/>
      <c r="AO20" s="8"/>
    </row>
    <row r="21" spans="1:41" x14ac:dyDescent="0.25">
      <c r="A21" s="3"/>
      <c r="B21" s="2"/>
      <c r="C21" s="2"/>
      <c r="D21" s="6"/>
      <c r="E21" s="6"/>
      <c r="F21" s="6"/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10"/>
      <c r="AI21" s="10"/>
      <c r="AJ21" s="2"/>
      <c r="AK21" s="2"/>
      <c r="AL21" s="2"/>
      <c r="AM21" s="2"/>
      <c r="AN21" s="6"/>
      <c r="AO21" s="8"/>
    </row>
    <row r="22" spans="1:41" x14ac:dyDescent="0.25">
      <c r="A22" s="3"/>
      <c r="B22" s="2"/>
      <c r="C22" s="2"/>
      <c r="D22" s="6"/>
      <c r="E22" s="6"/>
      <c r="F22" s="6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10"/>
      <c r="AI22" s="10"/>
      <c r="AJ22" s="2"/>
      <c r="AK22" s="2"/>
      <c r="AL22" s="2"/>
      <c r="AM22" s="2"/>
      <c r="AN22" s="6"/>
      <c r="AO22" s="8"/>
    </row>
    <row r="23" spans="1:41" x14ac:dyDescent="0.25">
      <c r="A23" s="3"/>
      <c r="B23" s="2"/>
      <c r="C23" s="2"/>
      <c r="D23" s="6"/>
      <c r="E23" s="6"/>
      <c r="F23" s="6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10"/>
      <c r="AI23" s="10"/>
      <c r="AJ23" s="2"/>
      <c r="AK23" s="2"/>
      <c r="AL23" s="2"/>
      <c r="AM23" s="2"/>
      <c r="AN23" s="6"/>
      <c r="AO23" s="8"/>
    </row>
    <row r="24" spans="1:41" x14ac:dyDescent="0.25">
      <c r="A24" s="3"/>
      <c r="B24" s="2"/>
      <c r="C24" s="2"/>
      <c r="D24" s="6"/>
      <c r="E24" s="6"/>
      <c r="F24" s="6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0"/>
      <c r="AI24" s="10"/>
      <c r="AJ24" s="2"/>
      <c r="AK24" s="2"/>
      <c r="AL24" s="2"/>
      <c r="AM24" s="2"/>
      <c r="AN24" s="6"/>
      <c r="AO24" s="8"/>
    </row>
    <row r="25" spans="1:41" x14ac:dyDescent="0.25">
      <c r="A25" s="3"/>
      <c r="B25" s="2"/>
      <c r="C25" s="2"/>
      <c r="D25" s="6"/>
      <c r="E25" s="6"/>
      <c r="F25" s="6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10"/>
      <c r="AI25" s="10"/>
      <c r="AJ25" s="2"/>
      <c r="AK25" s="2"/>
      <c r="AL25" s="2"/>
      <c r="AM25" s="2"/>
      <c r="AN25" s="6"/>
      <c r="AO25" s="8"/>
    </row>
    <row r="26" spans="1:41" x14ac:dyDescent="0.25">
      <c r="A26" s="3"/>
      <c r="B26" s="2"/>
      <c r="C26" s="2"/>
      <c r="D26" s="6"/>
      <c r="E26" s="6"/>
      <c r="F26" s="6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10"/>
      <c r="AI26" s="10"/>
      <c r="AJ26" s="2"/>
      <c r="AK26" s="2"/>
      <c r="AL26" s="2"/>
      <c r="AM26" s="2"/>
      <c r="AN26" s="6"/>
      <c r="AO26" s="8"/>
    </row>
    <row r="27" spans="1:41" x14ac:dyDescent="0.25">
      <c r="A27" s="3"/>
      <c r="B27" s="2"/>
      <c r="C27" s="2"/>
      <c r="D27" s="6"/>
      <c r="E27" s="6"/>
      <c r="F27" s="6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10"/>
      <c r="AI27" s="10"/>
      <c r="AJ27" s="2"/>
      <c r="AK27" s="2"/>
      <c r="AL27" s="2"/>
      <c r="AM27" s="2"/>
      <c r="AN27" s="6"/>
      <c r="AO27" s="8"/>
    </row>
    <row r="28" spans="1:41" x14ac:dyDescent="0.25">
      <c r="A28" s="3"/>
      <c r="B28" s="2"/>
      <c r="C28" s="2"/>
      <c r="D28" s="6"/>
      <c r="E28" s="6"/>
      <c r="F28" s="6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10"/>
      <c r="AI28" s="10"/>
      <c r="AJ28" s="2"/>
      <c r="AK28" s="2"/>
      <c r="AL28" s="2"/>
      <c r="AM28" s="2"/>
      <c r="AN28" s="6"/>
      <c r="AO28" s="8"/>
    </row>
    <row r="29" spans="1:41" x14ac:dyDescent="0.25">
      <c r="A29" s="3"/>
      <c r="B29" s="2"/>
      <c r="C29" s="2"/>
      <c r="D29" s="6"/>
      <c r="E29" s="6"/>
      <c r="F29" s="6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10"/>
      <c r="AI29" s="10"/>
      <c r="AJ29" s="2"/>
      <c r="AK29" s="2"/>
      <c r="AL29" s="2"/>
      <c r="AM29" s="2"/>
      <c r="AN29" s="6"/>
      <c r="AO29" s="8"/>
    </row>
    <row r="30" spans="1:41" x14ac:dyDescent="0.25">
      <c r="A30" s="3"/>
      <c r="B30" s="2"/>
      <c r="C30" s="2"/>
      <c r="D30" s="6"/>
      <c r="E30" s="6"/>
      <c r="F30" s="6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10"/>
      <c r="AI30" s="10"/>
      <c r="AJ30" s="2"/>
      <c r="AK30" s="2"/>
      <c r="AL30" s="2"/>
      <c r="AM30" s="2"/>
      <c r="AN30" s="6"/>
      <c r="AO30" s="8"/>
    </row>
    <row r="31" spans="1:41" x14ac:dyDescent="0.25">
      <c r="A31" s="3"/>
      <c r="B31" s="2"/>
      <c r="C31" s="2"/>
      <c r="D31" s="6"/>
      <c r="E31" s="6"/>
      <c r="F31" s="6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10"/>
      <c r="AI31" s="10"/>
      <c r="AJ31" s="2"/>
      <c r="AK31" s="2"/>
      <c r="AL31" s="2"/>
      <c r="AM31" s="2"/>
      <c r="AN31" s="6"/>
      <c r="AO31" s="8"/>
    </row>
    <row r="32" spans="1:41" x14ac:dyDescent="0.25">
      <c r="A32" s="3"/>
      <c r="B32" s="2"/>
      <c r="C32" s="2"/>
      <c r="D32" s="6"/>
      <c r="E32" s="6"/>
      <c r="F32" s="6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10"/>
      <c r="AI32" s="10"/>
      <c r="AJ32" s="2"/>
      <c r="AK32" s="2"/>
      <c r="AL32" s="2"/>
      <c r="AM32" s="2"/>
      <c r="AN32" s="6"/>
      <c r="AO32" s="8"/>
    </row>
    <row r="33" spans="1:41" x14ac:dyDescent="0.25">
      <c r="A33" s="3"/>
      <c r="B33" s="2"/>
      <c r="C33" s="2"/>
      <c r="D33" s="6"/>
      <c r="E33" s="6"/>
      <c r="F33" s="6"/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10"/>
      <c r="AI33" s="10"/>
      <c r="AJ33" s="2"/>
      <c r="AK33" s="2"/>
      <c r="AL33" s="2"/>
      <c r="AM33" s="2"/>
      <c r="AN33" s="6"/>
      <c r="AO33" s="8"/>
    </row>
    <row r="34" spans="1:41" x14ac:dyDescent="0.25">
      <c r="A34" s="3"/>
      <c r="B34" s="2"/>
      <c r="C34" s="2"/>
      <c r="D34" s="6"/>
      <c r="E34" s="6"/>
      <c r="F34" s="6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10"/>
      <c r="AI34" s="10"/>
      <c r="AJ34" s="2"/>
      <c r="AK34" s="2"/>
      <c r="AL34" s="2"/>
      <c r="AM34" s="2"/>
      <c r="AN34" s="6"/>
      <c r="AO34" s="8"/>
    </row>
    <row r="35" spans="1:41" x14ac:dyDescent="0.25">
      <c r="A35" s="3"/>
      <c r="B35" s="2"/>
      <c r="C35" s="2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10"/>
      <c r="AI35" s="10"/>
      <c r="AJ35" s="2"/>
      <c r="AK35" s="2"/>
      <c r="AL35" s="2"/>
      <c r="AM35" s="2"/>
      <c r="AN35" s="6"/>
      <c r="AO35" s="8"/>
    </row>
    <row r="36" spans="1:41" x14ac:dyDescent="0.25">
      <c r="A36" s="3"/>
      <c r="B36" s="2"/>
      <c r="C36" s="2"/>
      <c r="D36" s="6"/>
      <c r="E36" s="6"/>
      <c r="F36" s="6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10"/>
      <c r="AI36" s="10"/>
      <c r="AJ36" s="2"/>
      <c r="AK36" s="2"/>
      <c r="AL36" s="2"/>
      <c r="AM36" s="2"/>
      <c r="AN36" s="6"/>
      <c r="AO36" s="8"/>
    </row>
    <row r="37" spans="1:41" x14ac:dyDescent="0.25">
      <c r="A37" s="3"/>
      <c r="B37" s="2"/>
      <c r="C37" s="2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10"/>
      <c r="AI37" s="10"/>
      <c r="AJ37" s="2"/>
      <c r="AK37" s="2"/>
      <c r="AL37" s="2"/>
      <c r="AM37" s="2"/>
      <c r="AN37" s="6"/>
      <c r="AO37" s="8"/>
    </row>
    <row r="38" spans="1:41" x14ac:dyDescent="0.25">
      <c r="A38" s="3"/>
      <c r="B38" s="2"/>
      <c r="C38" s="2"/>
      <c r="D38" s="6"/>
      <c r="E38" s="6"/>
      <c r="F38" s="6"/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10"/>
      <c r="AI38" s="10"/>
      <c r="AJ38" s="2"/>
      <c r="AK38" s="2"/>
      <c r="AL38" s="2"/>
      <c r="AM38" s="2"/>
      <c r="AN38" s="6"/>
      <c r="AO38" s="8"/>
    </row>
    <row r="39" spans="1:41" x14ac:dyDescent="0.25">
      <c r="A39" s="3"/>
      <c r="B39" s="2"/>
      <c r="C39" s="2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0"/>
      <c r="AI39" s="10"/>
      <c r="AJ39" s="2"/>
      <c r="AK39" s="2"/>
      <c r="AL39" s="2"/>
      <c r="AM39" s="2"/>
      <c r="AN39" s="6"/>
      <c r="AO39" s="8"/>
    </row>
    <row r="40" spans="1:41" x14ac:dyDescent="0.25">
      <c r="A40" s="3"/>
      <c r="B40" s="2"/>
      <c r="C40" s="2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0"/>
      <c r="AI40" s="10"/>
      <c r="AJ40" s="2"/>
      <c r="AK40" s="2"/>
      <c r="AL40" s="2"/>
      <c r="AM40" s="2"/>
      <c r="AN40" s="6"/>
      <c r="AO40" s="8"/>
    </row>
    <row r="41" spans="1:41" x14ac:dyDescent="0.25">
      <c r="A41" s="3"/>
      <c r="B41" s="2"/>
      <c r="C41" s="2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10"/>
      <c r="AI41" s="10"/>
      <c r="AJ41" s="2"/>
      <c r="AK41" s="2"/>
      <c r="AL41" s="2"/>
      <c r="AM41" s="2"/>
      <c r="AN41" s="6"/>
      <c r="AO41" s="8"/>
    </row>
    <row r="42" spans="1:41" x14ac:dyDescent="0.25">
      <c r="A42" s="3"/>
      <c r="B42" s="2"/>
      <c r="C42" s="2"/>
      <c r="D42" s="6"/>
      <c r="E42" s="6"/>
      <c r="F42" s="6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10"/>
      <c r="AI42" s="10"/>
      <c r="AJ42" s="2"/>
      <c r="AK42" s="2"/>
      <c r="AL42" s="2"/>
      <c r="AM42" s="2"/>
      <c r="AN42" s="6"/>
      <c r="AO42" s="8"/>
    </row>
    <row r="43" spans="1:41" x14ac:dyDescent="0.25">
      <c r="A43" s="3"/>
      <c r="B43" s="2"/>
      <c r="C43" s="2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10"/>
      <c r="AI43" s="10"/>
      <c r="AJ43" s="2"/>
      <c r="AK43" s="2"/>
      <c r="AL43" s="2"/>
      <c r="AM43" s="2"/>
      <c r="AN43" s="6"/>
      <c r="AO43" s="8"/>
    </row>
    <row r="44" spans="1:41" x14ac:dyDescent="0.25">
      <c r="A44" s="3"/>
      <c r="B44" s="2"/>
      <c r="C44" s="2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10"/>
      <c r="AI44" s="10"/>
      <c r="AJ44" s="2"/>
      <c r="AK44" s="2"/>
      <c r="AL44" s="2"/>
      <c r="AM44" s="2"/>
      <c r="AN44" s="6"/>
      <c r="AO44" s="8"/>
    </row>
    <row r="45" spans="1:41" x14ac:dyDescent="0.25">
      <c r="A45" s="3"/>
      <c r="B45" s="2"/>
      <c r="C45" s="2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10"/>
      <c r="AI45" s="10"/>
      <c r="AJ45" s="2"/>
      <c r="AK45" s="2"/>
      <c r="AL45" s="2"/>
      <c r="AM45" s="2"/>
      <c r="AN45" s="6"/>
      <c r="AO45" s="8"/>
    </row>
    <row r="46" spans="1:41" x14ac:dyDescent="0.25">
      <c r="A46" s="3"/>
      <c r="B46" s="2"/>
      <c r="C46" s="2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10"/>
      <c r="AI46" s="10"/>
      <c r="AJ46" s="2"/>
      <c r="AK46" s="2"/>
      <c r="AL46" s="2"/>
      <c r="AM46" s="2"/>
      <c r="AN46" s="6"/>
      <c r="AO46" s="8"/>
    </row>
    <row r="47" spans="1:41" x14ac:dyDescent="0.25">
      <c r="A47" s="3"/>
      <c r="B47" s="2"/>
      <c r="C47" s="2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10"/>
      <c r="AI47" s="10"/>
      <c r="AJ47" s="2"/>
      <c r="AK47" s="2"/>
      <c r="AL47" s="2"/>
      <c r="AM47" s="2"/>
      <c r="AN47" s="6"/>
      <c r="AO47" s="8"/>
    </row>
    <row r="48" spans="1:41" x14ac:dyDescent="0.25">
      <c r="A48" s="3"/>
      <c r="B48" s="2"/>
      <c r="C48" s="2"/>
      <c r="D48" s="6"/>
      <c r="E48" s="6"/>
      <c r="F48" s="6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10"/>
      <c r="AI48" s="10"/>
      <c r="AJ48" s="2"/>
      <c r="AK48" s="2"/>
      <c r="AL48" s="2"/>
      <c r="AM48" s="2"/>
      <c r="AN48" s="6"/>
      <c r="AO48" s="8"/>
    </row>
    <row r="49" spans="1:41" x14ac:dyDescent="0.25">
      <c r="A49" s="3"/>
      <c r="B49" s="2"/>
      <c r="C49" s="2"/>
      <c r="D49" s="6"/>
      <c r="E49" s="6"/>
      <c r="F49" s="6"/>
      <c r="G49" s="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10"/>
      <c r="AI49" s="10"/>
      <c r="AJ49" s="2"/>
      <c r="AK49" s="2"/>
      <c r="AL49" s="2"/>
      <c r="AM49" s="2"/>
      <c r="AN49" s="6"/>
      <c r="AO49" s="8"/>
    </row>
    <row r="50" spans="1:41" x14ac:dyDescent="0.25">
      <c r="A50" s="3"/>
      <c r="B50" s="2"/>
      <c r="C50" s="2"/>
      <c r="D50" s="6"/>
      <c r="E50" s="6"/>
      <c r="F50" s="6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10"/>
      <c r="AI50" s="10"/>
      <c r="AJ50" s="2"/>
      <c r="AK50" s="2"/>
      <c r="AL50" s="2"/>
      <c r="AM50" s="2"/>
      <c r="AN50" s="6"/>
      <c r="AO50" s="8"/>
    </row>
    <row r="51" spans="1:41" x14ac:dyDescent="0.25">
      <c r="A51" s="3"/>
      <c r="B51" s="2"/>
      <c r="C51" s="2"/>
      <c r="D51" s="6"/>
      <c r="E51" s="6"/>
      <c r="F51" s="6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10"/>
      <c r="AI51" s="10"/>
      <c r="AJ51" s="2"/>
      <c r="AK51" s="2"/>
      <c r="AL51" s="2"/>
      <c r="AM51" s="2"/>
      <c r="AN51" s="6"/>
      <c r="AO51" s="8"/>
    </row>
    <row r="52" spans="1:41" x14ac:dyDescent="0.25">
      <c r="A52" s="3"/>
      <c r="B52" s="2"/>
      <c r="C52" s="2"/>
      <c r="D52" s="6"/>
      <c r="E52" s="6"/>
      <c r="F52" s="6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10"/>
      <c r="AI52" s="10"/>
      <c r="AJ52" s="2"/>
      <c r="AK52" s="2"/>
      <c r="AL52" s="2"/>
      <c r="AM52" s="2"/>
      <c r="AN52" s="6"/>
      <c r="AO52" s="8"/>
    </row>
    <row r="53" spans="1:41" x14ac:dyDescent="0.25">
      <c r="A53" s="3"/>
      <c r="B53" s="2"/>
      <c r="C53" s="2"/>
      <c r="D53" s="6"/>
      <c r="E53" s="6"/>
      <c r="F53" s="6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10"/>
      <c r="AI53" s="10"/>
      <c r="AJ53" s="2"/>
      <c r="AK53" s="2"/>
      <c r="AL53" s="2"/>
      <c r="AM53" s="2"/>
      <c r="AN53" s="6"/>
      <c r="AO53" s="8"/>
    </row>
    <row r="54" spans="1:41" x14ac:dyDescent="0.25">
      <c r="A54" s="3"/>
      <c r="B54" s="2"/>
      <c r="C54" s="2"/>
      <c r="D54" s="6"/>
      <c r="E54" s="6"/>
      <c r="F54" s="6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10"/>
      <c r="AI54" s="10"/>
      <c r="AJ54" s="2"/>
      <c r="AK54" s="2"/>
      <c r="AL54" s="2"/>
      <c r="AM54" s="2"/>
      <c r="AN54" s="6"/>
      <c r="AO54" s="8"/>
    </row>
    <row r="55" spans="1:41" x14ac:dyDescent="0.25">
      <c r="A55" s="3"/>
      <c r="B55" s="2"/>
      <c r="C55" s="2"/>
      <c r="D55" s="6"/>
      <c r="E55" s="6"/>
      <c r="F55" s="6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10"/>
      <c r="AI55" s="10"/>
      <c r="AJ55" s="2"/>
      <c r="AK55" s="2"/>
      <c r="AL55" s="2"/>
      <c r="AM55" s="2"/>
      <c r="AN55" s="6"/>
      <c r="AO55" s="8"/>
    </row>
    <row r="56" spans="1:41" x14ac:dyDescent="0.25">
      <c r="A56" s="3"/>
      <c r="B56" s="2"/>
      <c r="C56" s="2"/>
      <c r="D56" s="6"/>
      <c r="E56" s="6"/>
      <c r="F56" s="6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10"/>
      <c r="AI56" s="10"/>
      <c r="AJ56" s="2"/>
      <c r="AK56" s="2"/>
      <c r="AL56" s="2"/>
      <c r="AM56" s="2"/>
      <c r="AN56" s="6"/>
      <c r="AO56" s="8"/>
    </row>
    <row r="57" spans="1:41" x14ac:dyDescent="0.25">
      <c r="A57" s="3"/>
      <c r="B57" s="2"/>
      <c r="C57" s="2"/>
      <c r="D57" s="6"/>
      <c r="E57" s="6"/>
      <c r="F57" s="6"/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10"/>
      <c r="AI57" s="10"/>
      <c r="AJ57" s="2"/>
      <c r="AK57" s="2"/>
      <c r="AL57" s="2"/>
      <c r="AM57" s="2"/>
      <c r="AN57" s="6"/>
      <c r="AO57" s="8"/>
    </row>
    <row r="58" spans="1:41" x14ac:dyDescent="0.25">
      <c r="A58" s="3"/>
      <c r="B58" s="2"/>
      <c r="C58" s="2"/>
      <c r="D58" s="6"/>
      <c r="E58" s="6"/>
      <c r="F58" s="6"/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10"/>
      <c r="AI58" s="10"/>
      <c r="AJ58" s="2"/>
      <c r="AK58" s="2"/>
      <c r="AL58" s="2"/>
      <c r="AM58" s="2"/>
      <c r="AN58" s="6"/>
      <c r="AO58" s="8"/>
    </row>
    <row r="59" spans="1:41" x14ac:dyDescent="0.25">
      <c r="A59" s="3"/>
      <c r="B59" s="2"/>
      <c r="C59" s="2"/>
      <c r="D59" s="6"/>
      <c r="E59" s="6"/>
      <c r="F59" s="6"/>
      <c r="G59" s="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10"/>
      <c r="AI59" s="10"/>
      <c r="AJ59" s="2"/>
      <c r="AK59" s="2"/>
      <c r="AL59" s="2"/>
      <c r="AM59" s="2"/>
      <c r="AN59" s="6"/>
      <c r="AO59" s="8"/>
    </row>
    <row r="60" spans="1:41" x14ac:dyDescent="0.25">
      <c r="A60" s="3"/>
      <c r="B60" s="2"/>
      <c r="C60" s="2"/>
      <c r="D60" s="6"/>
      <c r="E60" s="6"/>
      <c r="F60" s="6"/>
      <c r="G60" s="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10"/>
      <c r="AI60" s="10"/>
      <c r="AJ60" s="2"/>
      <c r="AK60" s="2"/>
      <c r="AL60" s="2"/>
      <c r="AM60" s="2"/>
      <c r="AN60" s="6"/>
      <c r="AO60" s="8"/>
    </row>
    <row r="61" spans="1:41" x14ac:dyDescent="0.25">
      <c r="A61" s="4"/>
      <c r="B61" s="5"/>
      <c r="C61" s="5"/>
      <c r="D61" s="7"/>
      <c r="E61" s="7"/>
      <c r="F61" s="7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11"/>
      <c r="AI61" s="11"/>
      <c r="AJ61" s="5"/>
      <c r="AK61" s="5"/>
      <c r="AL61" s="5"/>
      <c r="AM61" s="5"/>
      <c r="AN61" s="7"/>
      <c r="AO61" s="9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honeticPr fontId="3" type="noConversion"/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4A85D7A4-5924-4661-B129-46C9B41BCE07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2.xml><?xml version="1.0" encoding="utf-8"?>
<ds:datastoreItem xmlns:ds="http://schemas.openxmlformats.org/officeDocument/2006/customXml" ds:itemID="{15591145-694B-4073-BB40-AF57CD87E1BF}"/>
</file>

<file path=customXml/itemProps3.xml><?xml version="1.0" encoding="utf-8"?>
<ds:datastoreItem xmlns:ds="http://schemas.openxmlformats.org/officeDocument/2006/customXml" ds:itemID="{3A126D22-7D22-434E-8174-3897D415A93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E6A1BFD-23D5-48EB-98E7-180D64B66C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2025-04-30T13:35:10Z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