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goalassociates.sharepoint.com/Shared Documents/Projects/2023/GA23036 - D6 SR 886 Port Blvd/06 CADD/44391315201/Calculations/"/>
    </mc:Choice>
  </mc:AlternateContent>
  <xr:revisionPtr revIDLastSave="88" documentId="13_ncr:1_{7419B761-F1FB-4BD2-BEBA-CA1F9A474F6D}" xr6:coauthVersionLast="47" xr6:coauthVersionMax="47" xr10:uidLastSave="{39947BF0-EFFB-40A4-8596-A22BC23B34F2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39" i="1" l="1"/>
  <c r="Y37" i="1"/>
  <c r="Y4" i="1" l="1"/>
  <c r="Y35" i="1"/>
  <c r="Y15" i="1"/>
  <c r="Y43" i="1" l="1"/>
  <c r="Y12" i="1"/>
  <c r="Y14" i="1"/>
  <c r="Y42" i="1" l="1"/>
</calcChain>
</file>

<file path=xl/sharedStrings.xml><?xml version="1.0" encoding="utf-8"?>
<sst xmlns="http://schemas.openxmlformats.org/spreadsheetml/2006/main" count="350" uniqueCount="116">
  <si>
    <t>Section</t>
  </si>
  <si>
    <t>Pay Item
Number</t>
  </si>
  <si>
    <t>Label</t>
  </si>
  <si>
    <t>Pay Item Description</t>
  </si>
  <si>
    <t>Max.
Maint.
Size</t>
  </si>
  <si>
    <t>Structure
Type</t>
  </si>
  <si>
    <t>Structure
Usage</t>
  </si>
  <si>
    <t>Unit of
Measure</t>
  </si>
  <si>
    <t>Work Zone
Speed
(MPH)</t>
  </si>
  <si>
    <t>Test Level
 (TL-2 or
TL-3)</t>
  </si>
  <si>
    <t>Existing (E) or
Temp/New (T)</t>
  </si>
  <si>
    <t>Number
Required</t>
  </si>
  <si>
    <t>Duration
(Days)</t>
  </si>
  <si>
    <t>Frequency
(Days)</t>
  </si>
  <si>
    <t>Length
(FT)</t>
  </si>
  <si>
    <t>Length
Restriction
(FT)</t>
  </si>
  <si>
    <t>Width
(FT)</t>
  </si>
  <si>
    <t>Width
of Barrier
(IN)</t>
  </si>
  <si>
    <t>Width
of Hazard
(IN)</t>
  </si>
  <si>
    <t>Thickness
(IN)</t>
  </si>
  <si>
    <t>Cycles</t>
  </si>
  <si>
    <t>Quantity</t>
  </si>
  <si>
    <t>Total Quantity</t>
  </si>
  <si>
    <t>Secondary Quantity</t>
  </si>
  <si>
    <t>Location</t>
  </si>
  <si>
    <t>Design Notes</t>
  </si>
  <si>
    <t>Construction
Remarks</t>
  </si>
  <si>
    <t>AC/
Cycle</t>
  </si>
  <si>
    <t>P</t>
  </si>
  <si>
    <t>F</t>
  </si>
  <si>
    <t>Unit</t>
  </si>
  <si>
    <t>Const.
Phase</t>
  </si>
  <si>
    <t>Wall
No.</t>
  </si>
  <si>
    <t>Site
No.</t>
  </si>
  <si>
    <t>Alignment</t>
  </si>
  <si>
    <t>Begin Station</t>
  </si>
  <si>
    <t>End Station</t>
  </si>
  <si>
    <t>Location
Description</t>
  </si>
  <si>
    <t>Offset</t>
  </si>
  <si>
    <t>Side</t>
  </si>
  <si>
    <t>Element
ID</t>
  </si>
  <si>
    <t/>
  </si>
  <si>
    <t>LF</t>
  </si>
  <si>
    <t>0</t>
  </si>
  <si>
    <t>LT/RT</t>
  </si>
  <si>
    <t>0630  2 12</t>
  </si>
  <si>
    <t>Conduit, Furnish &amp; Install, Directional Bore</t>
  </si>
  <si>
    <t>0635  2 11</t>
  </si>
  <si>
    <t>Pull &amp; Splice Box, F&amp;I, 13 X 24 Cover Size</t>
  </si>
  <si>
    <t>EA</t>
  </si>
  <si>
    <t>CL-SR886</t>
  </si>
  <si>
    <t>RT</t>
  </si>
  <si>
    <t>LT</t>
  </si>
  <si>
    <t>AS</t>
  </si>
  <si>
    <t>0632 7 1</t>
  </si>
  <si>
    <t>SIGNAL CABLE- NEW OR RECONSTRUCTED INTERSECTION, FURNISH &amp; INSTALL</t>
  </si>
  <si>
    <t>PI</t>
  </si>
  <si>
    <t>0660 2 106</t>
  </si>
  <si>
    <t>LOOP ASSEMBLY, F&amp;I, TYPE F</t>
  </si>
  <si>
    <t>34+41.84</t>
  </si>
  <si>
    <t>34+70.25</t>
  </si>
  <si>
    <t>36+66.54</t>
  </si>
  <si>
    <t>36+96.29</t>
  </si>
  <si>
    <t>32+48.50</t>
  </si>
  <si>
    <t>33+97.21</t>
  </si>
  <si>
    <t>0639 2 1</t>
  </si>
  <si>
    <t>PRESTRESSED CONCRETE POLE, F&amp;I, TYPE P-II SERVICE POLE</t>
  </si>
  <si>
    <t>ELECTRICAL SERVICE WIRE, FURNISH &amp; INSTALL</t>
  </si>
  <si>
    <t>641 2 12</t>
  </si>
  <si>
    <t>Summary of Signalization Items - 443913-1-52-01</t>
  </si>
  <si>
    <t>0660  3 11</t>
  </si>
  <si>
    <t>0660  3 12</t>
  </si>
  <si>
    <t>VEHICLE DETECTION SYSTEM- MICROWAVE, FURNISH &amp; INSTALL CABINET EQUIPMENT</t>
  </si>
  <si>
    <t>VEHICLE DETECTION SYSTEM- MICROWAVE, FURNISH &amp; INSTALL, ABOVE GROUND EQUIPMENT</t>
  </si>
  <si>
    <t>33+83.24</t>
  </si>
  <si>
    <t>33+95.08</t>
  </si>
  <si>
    <t>33+81.83</t>
  </si>
  <si>
    <t>33+83.81</t>
  </si>
  <si>
    <t>34+05.19</t>
  </si>
  <si>
    <t>34+37.29</t>
  </si>
  <si>
    <t>35+13.54</t>
  </si>
  <si>
    <t>36+95.32</t>
  </si>
  <si>
    <t>0633  6</t>
  </si>
  <si>
    <t>FIBER OPTIC CABLE LOCATOR</t>
  </si>
  <si>
    <t>DA</t>
  </si>
  <si>
    <t>33+00.00</t>
  </si>
  <si>
    <t>37+40.00</t>
  </si>
  <si>
    <t>33+80.09</t>
  </si>
  <si>
    <t>33+79.07</t>
  </si>
  <si>
    <t>37+23.19</t>
  </si>
  <si>
    <t>37+26.10</t>
  </si>
  <si>
    <t>37+28.97</t>
  </si>
  <si>
    <t>32+19.42</t>
  </si>
  <si>
    <t>31+48.38</t>
  </si>
  <si>
    <t>33+98.75</t>
  </si>
  <si>
    <t>30+67.61</t>
  </si>
  <si>
    <t>32+42.98</t>
  </si>
  <si>
    <t>32+09.31</t>
  </si>
  <si>
    <t xml:space="preserve">LT </t>
  </si>
  <si>
    <t>0639  1122</t>
  </si>
  <si>
    <t>ELECTRICAL POWER SERVICE, F&amp;I, UNDERGROUND, METER PURCHASED BY CONTRACTOR</t>
  </si>
  <si>
    <t>33+88.26</t>
  </si>
  <si>
    <t>31+81.83</t>
  </si>
  <si>
    <t>30+69.82</t>
  </si>
  <si>
    <t>32+32.63</t>
  </si>
  <si>
    <t>32+14.22</t>
  </si>
  <si>
    <t>32+18.06</t>
  </si>
  <si>
    <t>32+45.27</t>
  </si>
  <si>
    <t>30+67.34</t>
  </si>
  <si>
    <t>0639  1 620</t>
  </si>
  <si>
    <t>ELECTRICAL POWER SERVICE, REMOVE UNDERGROUND</t>
  </si>
  <si>
    <t>0639  2  6</t>
  </si>
  <si>
    <t>ELECTRICAL SERVICE WIRE, REMOVE</t>
  </si>
  <si>
    <t>0641 2 60</t>
  </si>
  <si>
    <t>PRESTRESSED CONCRETE POLE, COMPLETE POLE REMOVAL- PEDESTAL/SERVICE POLE</t>
  </si>
  <si>
    <t>32+65.72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</si>
</sst>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+00.00"/>
  </numFmts>
  <fonts count="6" x14ac:knownFonts="1">
    <font>
      <sz val="11"/>
      <color theme="1"/>
      <name val="Calibri"/>
      <family val="2"/>
      <scheme val="minor"/>
    </font>
    <font>
      <sz val="8"/>
      <color theme="1"/>
      <name val="FDOT"/>
    </font>
    <font>
      <sz val="8"/>
      <color theme="1"/>
      <name val="FDOT Bold"/>
    </font>
    <font>
      <sz val="8"/>
      <name val="Calibri"/>
      <family val="2"/>
      <scheme val="minor"/>
    </font>
    <font>
      <sz val="8"/>
      <name val="FDOT"/>
    </font>
    <font>
      <sz val="8"/>
      <color rgb="FFFF0000"/>
      <name val="FDOT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O44"/>
  <sheetViews>
    <sheetView tabSelected="1" showRuler="0" topLeftCell="B1" zoomScale="115" zoomScaleNormal="115" zoomScaleSheetLayoutView="90" zoomScalePageLayoutView="80" workbookViewId="0">
      <pane ySplit="3" topLeftCell="A10" activePane="bottomLeft" state="frozen"/>
      <selection activeCell="B1" sqref="B1"/>
      <selection pane="bottomLeft" activeCell="D24" sqref="D24"/>
    </sheetView>
  </sheetViews>
  <sheetFormatPr defaultColWidth="9.140625" defaultRowHeight="11.25" x14ac:dyDescent="0.25"/>
  <cols>
    <col min="1" max="1" width="9.140625" style="3" hidden="1" customWidth="1"/>
    <col min="2" max="2" width="10.85546875" style="2" customWidth="1"/>
    <col min="3" max="3" width="0.7109375" style="2" hidden="1" customWidth="1"/>
    <col min="4" max="4" width="100.85546875" style="2" customWidth="1"/>
    <col min="5" max="7" width="10.7109375" style="2" hidden="1" customWidth="1"/>
    <col min="8" max="8" width="8.28515625" style="2" customWidth="1"/>
    <col min="9" max="10" width="10.7109375" style="2" hidden="1" customWidth="1"/>
    <col min="11" max="11" width="13.28515625" style="2" hidden="1" customWidth="1"/>
    <col min="12" max="14" width="10.7109375" style="2" hidden="1" customWidth="1"/>
    <col min="15" max="15" width="6.7109375" style="2" hidden="1" customWidth="1"/>
    <col min="16" max="16" width="10.7109375" style="2" hidden="1" customWidth="1"/>
    <col min="17" max="17" width="6.7109375" style="2" hidden="1" customWidth="1"/>
    <col min="18" max="20" width="10.7109375" style="2" hidden="1" customWidth="1"/>
    <col min="21" max="21" width="9.7109375" style="2" hidden="1" customWidth="1"/>
    <col min="22" max="22" width="6.7109375" style="2" hidden="1" customWidth="1"/>
    <col min="23" max="26" width="6.7109375" style="2" customWidth="1"/>
    <col min="27" max="32" width="6.7109375" style="2" hidden="1" customWidth="1"/>
    <col min="33" max="33" width="9.28515625" style="2" customWidth="1"/>
    <col min="34" max="35" width="12.7109375" style="2" customWidth="1"/>
    <col min="36" max="36" width="12.7109375" style="2" hidden="1" customWidth="1"/>
    <col min="37" max="37" width="6.7109375" style="2" hidden="1" customWidth="1"/>
    <col min="38" max="38" width="6.7109375" style="2" customWidth="1"/>
    <col min="39" max="39" width="7.7109375" style="2" customWidth="1"/>
    <col min="40" max="40" width="14.7109375" style="2" customWidth="1"/>
    <col min="41" max="41" width="14.7109375" style="7" customWidth="1"/>
    <col min="42" max="42" width="9.140625" style="1" customWidth="1"/>
    <col min="43" max="16384" width="9.140625" style="1"/>
  </cols>
  <sheetData>
    <row r="1" spans="1:41" ht="15" customHeight="1" x14ac:dyDescent="0.25">
      <c r="A1" s="20" t="s">
        <v>69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2"/>
    </row>
    <row r="2" spans="1:41" s="5" customFormat="1" ht="11.25" customHeight="1" x14ac:dyDescent="0.25">
      <c r="A2" s="23" t="s">
        <v>0</v>
      </c>
      <c r="B2" s="24" t="s">
        <v>1</v>
      </c>
      <c r="C2" s="24" t="s">
        <v>2</v>
      </c>
      <c r="D2" s="24" t="s">
        <v>3</v>
      </c>
      <c r="E2" s="24" t="s">
        <v>4</v>
      </c>
      <c r="F2" s="24" t="s">
        <v>5</v>
      </c>
      <c r="G2" s="24" t="s">
        <v>6</v>
      </c>
      <c r="H2" s="24" t="s">
        <v>7</v>
      </c>
      <c r="I2" s="24" t="s">
        <v>8</v>
      </c>
      <c r="J2" s="24" t="s">
        <v>9</v>
      </c>
      <c r="K2" s="24" t="s">
        <v>10</v>
      </c>
      <c r="L2" s="24" t="s">
        <v>11</v>
      </c>
      <c r="M2" s="24" t="s">
        <v>12</v>
      </c>
      <c r="N2" s="24" t="s">
        <v>13</v>
      </c>
      <c r="O2" s="24" t="s">
        <v>14</v>
      </c>
      <c r="P2" s="24" t="s">
        <v>15</v>
      </c>
      <c r="Q2" s="24" t="s">
        <v>16</v>
      </c>
      <c r="R2" s="24" t="s">
        <v>17</v>
      </c>
      <c r="S2" s="24" t="s">
        <v>18</v>
      </c>
      <c r="T2" s="24" t="s">
        <v>19</v>
      </c>
      <c r="U2" s="24" t="s">
        <v>20</v>
      </c>
      <c r="V2" s="24" t="s">
        <v>21</v>
      </c>
      <c r="W2" s="24"/>
      <c r="X2" s="24"/>
      <c r="Y2" s="24" t="s">
        <v>22</v>
      </c>
      <c r="Z2" s="24"/>
      <c r="AA2" s="24" t="s">
        <v>23</v>
      </c>
      <c r="AB2" s="24"/>
      <c r="AC2" s="24"/>
      <c r="AD2" s="24" t="s">
        <v>24</v>
      </c>
      <c r="AE2" s="24"/>
      <c r="AF2" s="24"/>
      <c r="AG2" s="24"/>
      <c r="AH2" s="24"/>
      <c r="AI2" s="24"/>
      <c r="AJ2" s="24"/>
      <c r="AK2" s="24"/>
      <c r="AL2" s="24"/>
      <c r="AM2" s="24"/>
      <c r="AN2" s="24" t="s">
        <v>25</v>
      </c>
      <c r="AO2" s="25" t="s">
        <v>26</v>
      </c>
    </row>
    <row r="3" spans="1:41" s="5" customFormat="1" ht="33.75" x14ac:dyDescent="0.25">
      <c r="A3" s="23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6" t="s">
        <v>27</v>
      </c>
      <c r="W3" s="6" t="s">
        <v>28</v>
      </c>
      <c r="X3" s="6" t="s">
        <v>29</v>
      </c>
      <c r="Y3" s="6" t="s">
        <v>28</v>
      </c>
      <c r="Z3" s="6" t="s">
        <v>29</v>
      </c>
      <c r="AA3" s="6" t="s">
        <v>30</v>
      </c>
      <c r="AB3" s="6" t="s">
        <v>28</v>
      </c>
      <c r="AC3" s="6" t="s">
        <v>29</v>
      </c>
      <c r="AD3" s="6" t="s">
        <v>31</v>
      </c>
      <c r="AE3" s="6" t="s">
        <v>32</v>
      </c>
      <c r="AF3" s="6" t="s">
        <v>33</v>
      </c>
      <c r="AG3" s="6" t="s">
        <v>34</v>
      </c>
      <c r="AH3" s="6" t="s">
        <v>35</v>
      </c>
      <c r="AI3" s="6" t="s">
        <v>36</v>
      </c>
      <c r="AJ3" s="6" t="s">
        <v>37</v>
      </c>
      <c r="AK3" s="6" t="s">
        <v>38</v>
      </c>
      <c r="AL3" s="6" t="s">
        <v>39</v>
      </c>
      <c r="AM3" s="6" t="s">
        <v>40</v>
      </c>
      <c r="AN3" s="24"/>
      <c r="AO3" s="25"/>
    </row>
    <row r="4" spans="1:41" x14ac:dyDescent="0.25">
      <c r="B4" s="8" t="s">
        <v>45</v>
      </c>
      <c r="C4" s="8" t="s">
        <v>41</v>
      </c>
      <c r="D4" s="9" t="s">
        <v>46</v>
      </c>
      <c r="E4" s="9"/>
      <c r="F4" s="9"/>
      <c r="G4" s="9"/>
      <c r="H4" s="8" t="s">
        <v>42</v>
      </c>
      <c r="I4" s="8" t="s">
        <v>41</v>
      </c>
      <c r="J4" s="8" t="s">
        <v>41</v>
      </c>
      <c r="K4" s="8"/>
      <c r="L4" s="8"/>
      <c r="M4" s="8" t="s">
        <v>41</v>
      </c>
      <c r="N4" s="8" t="s">
        <v>41</v>
      </c>
      <c r="O4" s="8"/>
      <c r="P4" s="8" t="s">
        <v>41</v>
      </c>
      <c r="Q4" s="8" t="s">
        <v>41</v>
      </c>
      <c r="R4" s="8" t="s">
        <v>41</v>
      </c>
      <c r="S4" s="8" t="s">
        <v>41</v>
      </c>
      <c r="T4" s="8" t="s">
        <v>41</v>
      </c>
      <c r="U4" s="8" t="s">
        <v>41</v>
      </c>
      <c r="V4" s="8"/>
      <c r="W4" s="8">
        <v>327</v>
      </c>
      <c r="X4" s="8"/>
      <c r="Y4" s="8">
        <f>SUM(W4:W11)</f>
        <v>1437</v>
      </c>
      <c r="Z4" s="8"/>
      <c r="AA4" s="8"/>
      <c r="AB4" s="8"/>
      <c r="AC4" s="8"/>
      <c r="AD4" s="8"/>
      <c r="AE4" s="8"/>
      <c r="AF4" s="8"/>
      <c r="AG4" s="17" t="s">
        <v>50</v>
      </c>
      <c r="AH4" s="17" t="s">
        <v>95</v>
      </c>
      <c r="AI4" s="10" t="s">
        <v>96</v>
      </c>
      <c r="AJ4" s="8"/>
      <c r="AK4" s="8"/>
      <c r="AL4" s="8" t="s">
        <v>52</v>
      </c>
      <c r="AM4" s="8">
        <v>22789</v>
      </c>
      <c r="AN4" s="8"/>
      <c r="AO4" s="11" t="s">
        <v>41</v>
      </c>
    </row>
    <row r="5" spans="1:41" x14ac:dyDescent="0.25">
      <c r="D5" s="4"/>
      <c r="E5" s="4"/>
      <c r="F5" s="4"/>
      <c r="G5" s="4"/>
      <c r="W5" s="2">
        <v>300</v>
      </c>
      <c r="AG5" s="2" t="s">
        <v>50</v>
      </c>
      <c r="AH5" s="2" t="s">
        <v>93</v>
      </c>
      <c r="AI5" s="2" t="s">
        <v>101</v>
      </c>
      <c r="AL5" s="2" t="s">
        <v>52</v>
      </c>
      <c r="AO5" s="14"/>
    </row>
    <row r="6" spans="1:41" x14ac:dyDescent="0.25">
      <c r="D6" s="4"/>
      <c r="E6" s="4"/>
      <c r="F6" s="4"/>
      <c r="G6" s="4"/>
      <c r="W6" s="2">
        <v>84</v>
      </c>
      <c r="AA6" s="2" t="s">
        <v>41</v>
      </c>
      <c r="AB6" s="2" t="s">
        <v>41</v>
      </c>
      <c r="AD6" s="2" t="s">
        <v>41</v>
      </c>
      <c r="AG6" s="2" t="s">
        <v>50</v>
      </c>
      <c r="AH6" s="2" t="s">
        <v>102</v>
      </c>
      <c r="AI6" s="2" t="s">
        <v>101</v>
      </c>
      <c r="AL6" s="2" t="s">
        <v>44</v>
      </c>
      <c r="AM6" s="2">
        <v>3485</v>
      </c>
      <c r="AN6" s="4"/>
      <c r="AO6" s="14"/>
    </row>
    <row r="7" spans="1:41" x14ac:dyDescent="0.25">
      <c r="D7" s="4"/>
      <c r="E7" s="4"/>
      <c r="F7" s="4"/>
      <c r="G7" s="4"/>
      <c r="W7" s="2">
        <v>399</v>
      </c>
      <c r="AG7" s="2" t="s">
        <v>50</v>
      </c>
      <c r="AH7" s="13" t="s">
        <v>97</v>
      </c>
      <c r="AI7" s="13" t="s">
        <v>96</v>
      </c>
      <c r="AL7" s="2" t="s">
        <v>44</v>
      </c>
      <c r="AM7" s="2">
        <v>22788</v>
      </c>
      <c r="AN7" s="4"/>
      <c r="AO7" s="14"/>
    </row>
    <row r="8" spans="1:41" x14ac:dyDescent="0.25">
      <c r="D8" s="4"/>
      <c r="E8" s="4"/>
      <c r="F8" s="4"/>
      <c r="G8" s="4"/>
      <c r="W8" s="2">
        <v>14</v>
      </c>
      <c r="AA8" s="2" t="s">
        <v>41</v>
      </c>
      <c r="AB8" s="2" t="s">
        <v>41</v>
      </c>
      <c r="AD8" s="2" t="s">
        <v>41</v>
      </c>
      <c r="AG8" s="2" t="s">
        <v>50</v>
      </c>
      <c r="AH8" s="13" t="s">
        <v>76</v>
      </c>
      <c r="AI8" s="13" t="s">
        <v>75</v>
      </c>
      <c r="AL8" s="2" t="s">
        <v>51</v>
      </c>
      <c r="AM8" s="2">
        <v>5669</v>
      </c>
      <c r="AN8" s="4"/>
      <c r="AO8" s="14"/>
    </row>
    <row r="9" spans="1:41" x14ac:dyDescent="0.25">
      <c r="D9" s="4"/>
      <c r="E9" s="4"/>
      <c r="F9" s="4"/>
      <c r="G9" s="4"/>
      <c r="W9" s="2">
        <v>39</v>
      </c>
      <c r="AB9" s="2" t="s">
        <v>41</v>
      </c>
      <c r="AD9" s="2" t="s">
        <v>41</v>
      </c>
      <c r="AG9" s="2" t="s">
        <v>50</v>
      </c>
      <c r="AH9" s="13" t="s">
        <v>78</v>
      </c>
      <c r="AI9" s="13" t="s">
        <v>79</v>
      </c>
      <c r="AJ9" s="2" t="s">
        <v>41</v>
      </c>
      <c r="AK9" s="2" t="s">
        <v>43</v>
      </c>
      <c r="AL9" s="2" t="s">
        <v>51</v>
      </c>
      <c r="AM9" s="2">
        <v>3511</v>
      </c>
      <c r="AN9" s="4"/>
      <c r="AO9" s="14"/>
    </row>
    <row r="10" spans="1:41" x14ac:dyDescent="0.25">
      <c r="D10" s="4"/>
      <c r="E10" s="4"/>
      <c r="F10" s="4"/>
      <c r="G10" s="4"/>
      <c r="W10" s="2">
        <v>95</v>
      </c>
      <c r="AG10" s="2" t="s">
        <v>50</v>
      </c>
      <c r="AH10" s="13" t="s">
        <v>79</v>
      </c>
      <c r="AI10" s="13" t="s">
        <v>80</v>
      </c>
      <c r="AL10" s="2" t="s">
        <v>51</v>
      </c>
      <c r="AM10" s="2">
        <v>3487</v>
      </c>
      <c r="AN10" s="4"/>
      <c r="AO10" s="14"/>
    </row>
    <row r="11" spans="1:41" x14ac:dyDescent="0.25">
      <c r="D11" s="4"/>
      <c r="E11" s="4"/>
      <c r="F11" s="4"/>
      <c r="G11" s="4"/>
      <c r="W11" s="2">
        <v>179</v>
      </c>
      <c r="AG11" s="2" t="s">
        <v>50</v>
      </c>
      <c r="AH11" s="13" t="s">
        <v>80</v>
      </c>
      <c r="AI11" s="13" t="s">
        <v>81</v>
      </c>
      <c r="AL11" s="2" t="s">
        <v>51</v>
      </c>
      <c r="AM11" s="2">
        <v>3492</v>
      </c>
      <c r="AO11" s="14"/>
    </row>
    <row r="12" spans="1:41" x14ac:dyDescent="0.25">
      <c r="B12" s="8" t="s">
        <v>54</v>
      </c>
      <c r="C12" s="8"/>
      <c r="D12" s="9" t="s">
        <v>55</v>
      </c>
      <c r="E12" s="9"/>
      <c r="F12" s="9"/>
      <c r="G12" s="9"/>
      <c r="H12" s="8" t="s">
        <v>56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>
        <v>1</v>
      </c>
      <c r="X12" s="8"/>
      <c r="Y12" s="8">
        <f>SUM(W12:W13)</f>
        <v>2</v>
      </c>
      <c r="Z12" s="8"/>
      <c r="AA12" s="8"/>
      <c r="AB12" s="8"/>
      <c r="AC12" s="8"/>
      <c r="AD12" s="8"/>
      <c r="AE12" s="8"/>
      <c r="AF12" s="8"/>
      <c r="AG12" s="8" t="s">
        <v>50</v>
      </c>
      <c r="AH12" s="10" t="s">
        <v>63</v>
      </c>
      <c r="AI12" s="10" t="s">
        <v>63</v>
      </c>
      <c r="AJ12" s="8"/>
      <c r="AK12" s="8"/>
      <c r="AL12" s="8" t="s">
        <v>51</v>
      </c>
      <c r="AM12" s="8">
        <v>4189</v>
      </c>
      <c r="AN12" s="15"/>
      <c r="AO12" s="11"/>
    </row>
    <row r="13" spans="1:41" x14ac:dyDescent="0.25">
      <c r="D13" s="4"/>
      <c r="E13" s="4"/>
      <c r="F13" s="4"/>
      <c r="G13" s="4"/>
      <c r="W13" s="2">
        <v>1</v>
      </c>
      <c r="AG13" s="2" t="s">
        <v>50</v>
      </c>
      <c r="AH13" s="13" t="s">
        <v>64</v>
      </c>
      <c r="AI13" s="13" t="s">
        <v>64</v>
      </c>
      <c r="AL13" s="2" t="s">
        <v>51</v>
      </c>
      <c r="AM13" s="2">
        <v>4951</v>
      </c>
      <c r="AN13" s="4"/>
      <c r="AO13" s="14"/>
    </row>
    <row r="14" spans="1:41" x14ac:dyDescent="0.25">
      <c r="B14" s="8" t="s">
        <v>82</v>
      </c>
      <c r="C14" s="8"/>
      <c r="D14" s="9" t="s">
        <v>83</v>
      </c>
      <c r="E14" s="9"/>
      <c r="F14" s="9"/>
      <c r="G14" s="9"/>
      <c r="H14" s="8" t="s">
        <v>84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>
        <v>270</v>
      </c>
      <c r="X14" s="8"/>
      <c r="Y14" s="8">
        <f>W14</f>
        <v>270</v>
      </c>
      <c r="Z14" s="8"/>
      <c r="AA14" s="8"/>
      <c r="AB14" s="8"/>
      <c r="AC14" s="8"/>
      <c r="AD14" s="8"/>
      <c r="AE14" s="8"/>
      <c r="AF14" s="8"/>
      <c r="AG14" s="8" t="s">
        <v>50</v>
      </c>
      <c r="AH14" s="10" t="s">
        <v>85</v>
      </c>
      <c r="AI14" s="10" t="s">
        <v>86</v>
      </c>
      <c r="AJ14" s="8"/>
      <c r="AK14" s="8"/>
      <c r="AL14" s="8"/>
      <c r="AM14" s="8"/>
      <c r="AN14" s="8"/>
      <c r="AO14" s="11"/>
    </row>
    <row r="15" spans="1:41" x14ac:dyDescent="0.25">
      <c r="B15" s="8" t="s">
        <v>47</v>
      </c>
      <c r="C15" s="8" t="s">
        <v>41</v>
      </c>
      <c r="D15" s="9" t="s">
        <v>48</v>
      </c>
      <c r="E15" s="9"/>
      <c r="F15" s="9"/>
      <c r="G15" s="9"/>
      <c r="H15" s="8" t="s">
        <v>49</v>
      </c>
      <c r="I15" s="8" t="s">
        <v>41</v>
      </c>
      <c r="J15" s="8" t="s">
        <v>41</v>
      </c>
      <c r="K15" s="8"/>
      <c r="L15" s="8"/>
      <c r="M15" s="8" t="s">
        <v>41</v>
      </c>
      <c r="N15" s="8" t="s">
        <v>41</v>
      </c>
      <c r="O15" s="8"/>
      <c r="P15" s="8" t="s">
        <v>41</v>
      </c>
      <c r="Q15" s="8" t="s">
        <v>41</v>
      </c>
      <c r="R15" s="8" t="s">
        <v>41</v>
      </c>
      <c r="S15" s="8" t="s">
        <v>41</v>
      </c>
      <c r="T15" s="8" t="s">
        <v>41</v>
      </c>
      <c r="U15" s="8" t="s">
        <v>41</v>
      </c>
      <c r="V15" s="8"/>
      <c r="W15" s="8">
        <v>1</v>
      </c>
      <c r="X15" s="8"/>
      <c r="Y15" s="8">
        <f>SUM(W15:W32)</f>
        <v>20</v>
      </c>
      <c r="Z15" s="8"/>
      <c r="AA15" s="8"/>
      <c r="AB15" s="8"/>
      <c r="AC15" s="8"/>
      <c r="AD15" s="8"/>
      <c r="AE15" s="8"/>
      <c r="AF15" s="8"/>
      <c r="AG15" s="8" t="s">
        <v>50</v>
      </c>
      <c r="AH15" s="8" t="s">
        <v>103</v>
      </c>
      <c r="AI15" s="8" t="s">
        <v>103</v>
      </c>
      <c r="AJ15" s="8"/>
      <c r="AK15" s="8"/>
      <c r="AL15" s="8" t="s">
        <v>52</v>
      </c>
      <c r="AM15" s="8">
        <v>22774</v>
      </c>
      <c r="AN15" s="8"/>
      <c r="AO15" s="11" t="s">
        <v>41</v>
      </c>
    </row>
    <row r="16" spans="1:41" x14ac:dyDescent="0.25">
      <c r="D16" s="4"/>
      <c r="E16" s="4"/>
      <c r="F16" s="4"/>
      <c r="G16" s="4"/>
      <c r="W16" s="2">
        <v>3</v>
      </c>
      <c r="AG16" s="2" t="s">
        <v>50</v>
      </c>
      <c r="AH16" s="2" t="s">
        <v>93</v>
      </c>
      <c r="AI16" s="2" t="s">
        <v>101</v>
      </c>
      <c r="AL16" s="2" t="s">
        <v>52</v>
      </c>
      <c r="AO16" s="14"/>
    </row>
    <row r="17" spans="3:41" x14ac:dyDescent="0.25">
      <c r="D17" s="4"/>
      <c r="E17" s="4"/>
      <c r="F17" s="4"/>
      <c r="G17" s="4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2">
        <v>1</v>
      </c>
      <c r="AG17" s="2" t="s">
        <v>50</v>
      </c>
      <c r="AH17" s="13" t="s">
        <v>105</v>
      </c>
      <c r="AI17" s="13" t="s">
        <v>105</v>
      </c>
      <c r="AL17" s="2" t="s">
        <v>98</v>
      </c>
      <c r="AM17" s="2">
        <v>22760</v>
      </c>
      <c r="AO17" s="14"/>
    </row>
    <row r="18" spans="3:41" x14ac:dyDescent="0.25">
      <c r="D18" s="4"/>
      <c r="E18" s="4"/>
      <c r="F18" s="4"/>
      <c r="G18" s="4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2">
        <v>1</v>
      </c>
      <c r="AG18" s="2" t="s">
        <v>50</v>
      </c>
      <c r="AH18" s="13" t="s">
        <v>106</v>
      </c>
      <c r="AI18" s="13" t="s">
        <v>106</v>
      </c>
      <c r="AL18" s="2" t="s">
        <v>52</v>
      </c>
      <c r="AM18" s="2">
        <v>25365</v>
      </c>
      <c r="AO18" s="14"/>
    </row>
    <row r="19" spans="3:41" x14ac:dyDescent="0.25">
      <c r="D19" s="4"/>
      <c r="E19" s="4"/>
      <c r="F19" s="4"/>
      <c r="G19" s="4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2">
        <v>1</v>
      </c>
      <c r="AG19" s="2" t="s">
        <v>50</v>
      </c>
      <c r="AH19" s="2" t="s">
        <v>104</v>
      </c>
      <c r="AI19" s="2" t="s">
        <v>104</v>
      </c>
      <c r="AL19" s="2" t="s">
        <v>51</v>
      </c>
      <c r="AM19" s="2">
        <v>22767</v>
      </c>
      <c r="AO19" s="14"/>
    </row>
    <row r="20" spans="3:41" x14ac:dyDescent="0.25">
      <c r="D20" s="4"/>
      <c r="E20" s="4"/>
      <c r="F20" s="4"/>
      <c r="G20" s="4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2">
        <v>1</v>
      </c>
      <c r="AG20" s="2" t="s">
        <v>50</v>
      </c>
      <c r="AH20" s="2" t="s">
        <v>107</v>
      </c>
      <c r="AI20" s="2" t="s">
        <v>107</v>
      </c>
      <c r="AL20" s="2" t="s">
        <v>51</v>
      </c>
      <c r="AM20" s="2">
        <v>26783</v>
      </c>
      <c r="AO20" s="14"/>
    </row>
    <row r="21" spans="3:41" x14ac:dyDescent="0.25">
      <c r="D21" s="4"/>
      <c r="E21" s="4"/>
      <c r="F21" s="4"/>
      <c r="G21" s="4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2">
        <v>1</v>
      </c>
      <c r="AG21" s="2" t="s">
        <v>50</v>
      </c>
      <c r="AH21" s="2" t="s">
        <v>88</v>
      </c>
      <c r="AI21" s="2" t="s">
        <v>88</v>
      </c>
      <c r="AL21" s="2" t="s">
        <v>51</v>
      </c>
      <c r="AM21" s="2">
        <v>12061</v>
      </c>
      <c r="AO21" s="14"/>
    </row>
    <row r="22" spans="3:41" x14ac:dyDescent="0.25">
      <c r="D22" s="4"/>
      <c r="E22" s="4"/>
      <c r="F22" s="4"/>
      <c r="G22" s="4"/>
      <c r="W22" s="2">
        <v>1</v>
      </c>
      <c r="AG22" s="2" t="s">
        <v>50</v>
      </c>
      <c r="AH22" s="2" t="s">
        <v>87</v>
      </c>
      <c r="AI22" s="2" t="s">
        <v>87</v>
      </c>
      <c r="AL22" s="2" t="s">
        <v>51</v>
      </c>
      <c r="AM22" s="2">
        <v>12075</v>
      </c>
      <c r="AO22" s="14"/>
    </row>
    <row r="23" spans="3:41" x14ac:dyDescent="0.25">
      <c r="D23" s="4"/>
      <c r="E23" s="4"/>
      <c r="F23" s="4"/>
      <c r="G23" s="4"/>
      <c r="W23" s="2">
        <v>1</v>
      </c>
      <c r="AG23" s="2" t="s">
        <v>50</v>
      </c>
      <c r="AH23" s="2" t="s">
        <v>76</v>
      </c>
      <c r="AI23" s="2" t="s">
        <v>76</v>
      </c>
      <c r="AL23" s="2" t="s">
        <v>51</v>
      </c>
      <c r="AM23" s="2">
        <v>12068</v>
      </c>
      <c r="AO23" s="14"/>
    </row>
    <row r="24" spans="3:41" x14ac:dyDescent="0.25">
      <c r="D24" s="4"/>
      <c r="E24" s="4"/>
      <c r="F24" s="4"/>
      <c r="G24" s="4"/>
      <c r="W24" s="2">
        <v>1</v>
      </c>
      <c r="AG24" s="2" t="s">
        <v>50</v>
      </c>
      <c r="AH24" s="2" t="s">
        <v>101</v>
      </c>
      <c r="AI24" s="2" t="s">
        <v>101</v>
      </c>
      <c r="AL24" s="2" t="s">
        <v>52</v>
      </c>
      <c r="AM24" s="2">
        <v>12096</v>
      </c>
      <c r="AO24" s="14"/>
    </row>
    <row r="25" spans="3:41" x14ac:dyDescent="0.25">
      <c r="C25" s="2" t="s">
        <v>41</v>
      </c>
      <c r="I25" s="2" t="s">
        <v>41</v>
      </c>
      <c r="J25" s="2" t="s">
        <v>41</v>
      </c>
      <c r="M25" s="2" t="s">
        <v>41</v>
      </c>
      <c r="N25" s="2" t="s">
        <v>41</v>
      </c>
      <c r="P25" s="2" t="s">
        <v>41</v>
      </c>
      <c r="Q25" s="2" t="s">
        <v>41</v>
      </c>
      <c r="R25" s="2" t="s">
        <v>41</v>
      </c>
      <c r="S25" s="2" t="s">
        <v>41</v>
      </c>
      <c r="T25" s="2" t="s">
        <v>41</v>
      </c>
      <c r="U25" s="2" t="s">
        <v>41</v>
      </c>
      <c r="W25" s="2">
        <v>1</v>
      </c>
      <c r="AB25" s="2" t="s">
        <v>41</v>
      </c>
      <c r="AD25" s="2" t="s">
        <v>41</v>
      </c>
      <c r="AG25" s="2" t="s">
        <v>50</v>
      </c>
      <c r="AH25" s="2" t="s">
        <v>75</v>
      </c>
      <c r="AI25" s="2" t="s">
        <v>75</v>
      </c>
      <c r="AL25" s="2" t="s">
        <v>51</v>
      </c>
      <c r="AM25" s="2">
        <v>12082</v>
      </c>
    </row>
    <row r="26" spans="3:41" x14ac:dyDescent="0.25">
      <c r="W26" s="2">
        <v>1</v>
      </c>
      <c r="AG26" s="2" t="s">
        <v>50</v>
      </c>
      <c r="AH26" s="2" t="s">
        <v>94</v>
      </c>
      <c r="AI26" s="2" t="s">
        <v>94</v>
      </c>
      <c r="AL26" s="2" t="s">
        <v>51</v>
      </c>
      <c r="AM26" s="2">
        <v>23428</v>
      </c>
    </row>
    <row r="27" spans="3:41" x14ac:dyDescent="0.25">
      <c r="C27" s="2" t="s">
        <v>41</v>
      </c>
      <c r="I27" s="2" t="s">
        <v>41</v>
      </c>
      <c r="J27" s="2" t="s">
        <v>41</v>
      </c>
      <c r="M27" s="2" t="s">
        <v>41</v>
      </c>
      <c r="N27" s="2" t="s">
        <v>41</v>
      </c>
      <c r="P27" s="2" t="s">
        <v>41</v>
      </c>
      <c r="Q27" s="2" t="s">
        <v>41</v>
      </c>
      <c r="R27" s="2" t="s">
        <v>41</v>
      </c>
      <c r="S27" s="2" t="s">
        <v>41</v>
      </c>
      <c r="T27" s="2" t="s">
        <v>41</v>
      </c>
      <c r="U27" s="2" t="s">
        <v>41</v>
      </c>
      <c r="W27" s="2">
        <v>1</v>
      </c>
      <c r="AB27" s="2" t="s">
        <v>41</v>
      </c>
      <c r="AD27" s="2" t="s">
        <v>41</v>
      </c>
      <c r="AG27" s="2" t="s">
        <v>50</v>
      </c>
      <c r="AH27" s="2" t="s">
        <v>79</v>
      </c>
      <c r="AI27" s="2" t="s">
        <v>79</v>
      </c>
      <c r="AL27" s="2" t="s">
        <v>51</v>
      </c>
      <c r="AM27" s="2">
        <v>12229</v>
      </c>
      <c r="AO27" s="7" t="s">
        <v>41</v>
      </c>
    </row>
    <row r="28" spans="3:41" x14ac:dyDescent="0.25">
      <c r="C28" s="2" t="s">
        <v>41</v>
      </c>
      <c r="I28" s="2" t="s">
        <v>41</v>
      </c>
      <c r="J28" s="2" t="s">
        <v>41</v>
      </c>
      <c r="M28" s="2" t="s">
        <v>41</v>
      </c>
      <c r="N28" s="2" t="s">
        <v>41</v>
      </c>
      <c r="P28" s="2" t="s">
        <v>41</v>
      </c>
      <c r="Q28" s="2" t="s">
        <v>41</v>
      </c>
      <c r="R28" s="2" t="s">
        <v>41</v>
      </c>
      <c r="S28" s="2" t="s">
        <v>41</v>
      </c>
      <c r="T28" s="2" t="s">
        <v>41</v>
      </c>
      <c r="U28" s="2" t="s">
        <v>41</v>
      </c>
      <c r="W28" s="2">
        <v>1</v>
      </c>
      <c r="AB28" s="2" t="s">
        <v>41</v>
      </c>
      <c r="AD28" s="2" t="s">
        <v>41</v>
      </c>
      <c r="AG28" s="2" t="s">
        <v>50</v>
      </c>
      <c r="AH28" s="2" t="s">
        <v>80</v>
      </c>
      <c r="AI28" s="2" t="s">
        <v>80</v>
      </c>
      <c r="AL28" s="2" t="s">
        <v>51</v>
      </c>
      <c r="AM28" s="2">
        <v>12222</v>
      </c>
    </row>
    <row r="29" spans="3:41" x14ac:dyDescent="0.25">
      <c r="C29" s="2" t="s">
        <v>41</v>
      </c>
      <c r="I29" s="2" t="s">
        <v>41</v>
      </c>
      <c r="J29" s="2" t="s">
        <v>41</v>
      </c>
      <c r="M29" s="2" t="s">
        <v>41</v>
      </c>
      <c r="N29" s="2" t="s">
        <v>41</v>
      </c>
      <c r="P29" s="2" t="s">
        <v>41</v>
      </c>
      <c r="Q29" s="2" t="s">
        <v>41</v>
      </c>
      <c r="R29" s="2" t="s">
        <v>41</v>
      </c>
      <c r="S29" s="2" t="s">
        <v>41</v>
      </c>
      <c r="T29" s="2" t="s">
        <v>41</v>
      </c>
      <c r="U29" s="2" t="s">
        <v>41</v>
      </c>
      <c r="W29" s="2">
        <v>1</v>
      </c>
      <c r="AB29" s="2" t="s">
        <v>41</v>
      </c>
      <c r="AD29" s="2" t="s">
        <v>41</v>
      </c>
      <c r="AG29" s="2" t="s">
        <v>50</v>
      </c>
      <c r="AH29" s="2" t="s">
        <v>81</v>
      </c>
      <c r="AI29" s="2" t="s">
        <v>81</v>
      </c>
      <c r="AL29" s="2" t="s">
        <v>51</v>
      </c>
      <c r="AM29" s="2">
        <v>12236</v>
      </c>
      <c r="AO29" s="7" t="s">
        <v>41</v>
      </c>
    </row>
    <row r="30" spans="3:41" x14ac:dyDescent="0.25">
      <c r="C30" s="2" t="s">
        <v>41</v>
      </c>
      <c r="I30" s="2" t="s">
        <v>41</v>
      </c>
      <c r="J30" s="2" t="s">
        <v>41</v>
      </c>
      <c r="M30" s="2" t="s">
        <v>41</v>
      </c>
      <c r="N30" s="2" t="s">
        <v>41</v>
      </c>
      <c r="P30" s="2" t="s">
        <v>41</v>
      </c>
      <c r="Q30" s="2" t="s">
        <v>41</v>
      </c>
      <c r="R30" s="2" t="s">
        <v>41</v>
      </c>
      <c r="S30" s="2" t="s">
        <v>41</v>
      </c>
      <c r="T30" s="2" t="s">
        <v>41</v>
      </c>
      <c r="U30" s="2" t="s">
        <v>41</v>
      </c>
      <c r="W30" s="2">
        <v>1</v>
      </c>
      <c r="AB30" s="2" t="s">
        <v>41</v>
      </c>
      <c r="AD30" s="2" t="s">
        <v>41</v>
      </c>
      <c r="AG30" s="2" t="s">
        <v>50</v>
      </c>
      <c r="AH30" s="2" t="s">
        <v>89</v>
      </c>
      <c r="AI30" s="2" t="s">
        <v>89</v>
      </c>
      <c r="AL30" s="2" t="s">
        <v>52</v>
      </c>
      <c r="AM30" s="2">
        <v>12208</v>
      </c>
      <c r="AO30" s="7" t="s">
        <v>41</v>
      </c>
    </row>
    <row r="31" spans="3:41" x14ac:dyDescent="0.25">
      <c r="W31" s="2">
        <v>1</v>
      </c>
      <c r="AG31" s="2" t="s">
        <v>50</v>
      </c>
      <c r="AH31" s="2" t="s">
        <v>90</v>
      </c>
      <c r="AI31" s="2" t="s">
        <v>90</v>
      </c>
      <c r="AL31" s="2" t="s">
        <v>52</v>
      </c>
      <c r="AM31" s="2">
        <v>12201</v>
      </c>
    </row>
    <row r="32" spans="3:41" x14ac:dyDescent="0.25">
      <c r="W32" s="2">
        <v>1</v>
      </c>
      <c r="AG32" s="2" t="s">
        <v>50</v>
      </c>
      <c r="AH32" s="2" t="s">
        <v>91</v>
      </c>
      <c r="AI32" s="2" t="s">
        <v>91</v>
      </c>
      <c r="AL32" s="2" t="s">
        <v>52</v>
      </c>
      <c r="AM32" s="2">
        <v>12215</v>
      </c>
    </row>
    <row r="33" spans="2:41" x14ac:dyDescent="0.25">
      <c r="B33" s="8" t="s">
        <v>99</v>
      </c>
      <c r="C33" s="8"/>
      <c r="D33" s="9" t="s">
        <v>100</v>
      </c>
      <c r="E33" s="8"/>
      <c r="F33" s="8"/>
      <c r="G33" s="8"/>
      <c r="H33" s="8" t="s">
        <v>53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>
        <v>1</v>
      </c>
      <c r="X33" s="8"/>
      <c r="Y33" s="8">
        <v>1</v>
      </c>
      <c r="Z33" s="8"/>
      <c r="AA33" s="8"/>
      <c r="AB33" s="8"/>
      <c r="AC33" s="8"/>
      <c r="AD33" s="8"/>
      <c r="AE33" s="8"/>
      <c r="AF33" s="8"/>
      <c r="AG33" s="8" t="s">
        <v>50</v>
      </c>
      <c r="AH33" s="8" t="s">
        <v>74</v>
      </c>
      <c r="AI33" s="8" t="s">
        <v>74</v>
      </c>
      <c r="AJ33" s="8"/>
      <c r="AK33" s="8"/>
      <c r="AL33" s="8" t="s">
        <v>51</v>
      </c>
      <c r="AM33" s="8">
        <v>5221</v>
      </c>
      <c r="AN33" s="16"/>
      <c r="AO33" s="12"/>
    </row>
    <row r="34" spans="2:41" x14ac:dyDescent="0.25">
      <c r="B34" s="8" t="s">
        <v>109</v>
      </c>
      <c r="C34" s="8"/>
      <c r="D34" s="9" t="s">
        <v>110</v>
      </c>
      <c r="E34" s="8"/>
      <c r="F34" s="8"/>
      <c r="G34" s="8"/>
      <c r="H34" s="8" t="s">
        <v>53</v>
      </c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>
        <v>1</v>
      </c>
      <c r="X34" s="8"/>
      <c r="Y34" s="8">
        <v>1</v>
      </c>
      <c r="Z34" s="8"/>
      <c r="AA34" s="8"/>
      <c r="AB34" s="8"/>
      <c r="AC34" s="8"/>
      <c r="AD34" s="8"/>
      <c r="AE34" s="8"/>
      <c r="AF34" s="8"/>
      <c r="AG34" s="8" t="s">
        <v>50</v>
      </c>
      <c r="AH34" s="8" t="s">
        <v>115</v>
      </c>
      <c r="AI34" s="8" t="s">
        <v>115</v>
      </c>
      <c r="AJ34" s="8"/>
      <c r="AK34" s="8"/>
      <c r="AL34" s="8" t="s">
        <v>51</v>
      </c>
      <c r="AM34" s="8">
        <v>27553</v>
      </c>
      <c r="AN34" s="8"/>
      <c r="AO34" s="8"/>
    </row>
    <row r="35" spans="2:41" x14ac:dyDescent="0.25">
      <c r="B35" s="8" t="s">
        <v>65</v>
      </c>
      <c r="C35" s="8"/>
      <c r="D35" s="9" t="s">
        <v>67</v>
      </c>
      <c r="E35" s="8"/>
      <c r="F35" s="8"/>
      <c r="G35" s="8"/>
      <c r="H35" s="8" t="s">
        <v>42</v>
      </c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>
        <v>1100</v>
      </c>
      <c r="X35" s="8"/>
      <c r="Y35" s="8">
        <f>SUM(W35:W36)</f>
        <v>1160</v>
      </c>
      <c r="Z35" s="8"/>
      <c r="AA35" s="8"/>
      <c r="AB35" s="8"/>
      <c r="AC35" s="8"/>
      <c r="AD35" s="8"/>
      <c r="AE35" s="8"/>
      <c r="AF35" s="8"/>
      <c r="AG35" s="8" t="s">
        <v>50</v>
      </c>
      <c r="AH35" s="8" t="s">
        <v>93</v>
      </c>
      <c r="AI35" s="8" t="s">
        <v>101</v>
      </c>
      <c r="AJ35" s="8"/>
      <c r="AK35" s="8"/>
      <c r="AL35" s="8" t="s">
        <v>52</v>
      </c>
      <c r="AM35" s="8"/>
      <c r="AN35" s="8"/>
      <c r="AO35" s="12"/>
    </row>
    <row r="36" spans="2:41" x14ac:dyDescent="0.25">
      <c r="D36" s="4"/>
      <c r="W36" s="2">
        <v>60</v>
      </c>
      <c r="AG36" s="2" t="s">
        <v>50</v>
      </c>
      <c r="AH36" s="2" t="s">
        <v>77</v>
      </c>
      <c r="AI36" s="2" t="s">
        <v>75</v>
      </c>
      <c r="AL36" s="2" t="s">
        <v>51</v>
      </c>
      <c r="AM36" s="2">
        <v>5219</v>
      </c>
    </row>
    <row r="37" spans="2:41" x14ac:dyDescent="0.25">
      <c r="B37" s="8" t="s">
        <v>111</v>
      </c>
      <c r="C37" s="18"/>
      <c r="D37" s="9" t="s">
        <v>112</v>
      </c>
      <c r="E37" s="19"/>
      <c r="F37" s="19"/>
      <c r="G37" s="19"/>
      <c r="H37" s="8" t="s">
        <v>42</v>
      </c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8">
        <v>600</v>
      </c>
      <c r="X37" s="16"/>
      <c r="Y37" s="8">
        <f>W37</f>
        <v>600</v>
      </c>
      <c r="Z37" s="16"/>
      <c r="AA37" s="16"/>
      <c r="AB37" s="16"/>
      <c r="AC37" s="16"/>
      <c r="AD37" s="16"/>
      <c r="AE37" s="16"/>
      <c r="AF37" s="16"/>
      <c r="AG37" s="8" t="s">
        <v>50</v>
      </c>
      <c r="AH37" s="8" t="s">
        <v>115</v>
      </c>
      <c r="AI37" s="8" t="s">
        <v>115</v>
      </c>
      <c r="AJ37" s="8"/>
      <c r="AK37" s="8"/>
      <c r="AL37" s="8" t="s">
        <v>51</v>
      </c>
      <c r="AM37" s="8">
        <v>27553</v>
      </c>
      <c r="AN37" s="8"/>
      <c r="AO37" s="11"/>
    </row>
    <row r="38" spans="2:41" x14ac:dyDescent="0.25">
      <c r="B38" s="8" t="s">
        <v>68</v>
      </c>
      <c r="C38" s="8"/>
      <c r="D38" s="9" t="s">
        <v>66</v>
      </c>
      <c r="E38" s="8"/>
      <c r="F38" s="8"/>
      <c r="G38" s="8"/>
      <c r="H38" s="8" t="s">
        <v>49</v>
      </c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>
        <v>1</v>
      </c>
      <c r="X38" s="8"/>
      <c r="Y38" s="8">
        <v>1</v>
      </c>
      <c r="Z38" s="8"/>
      <c r="AA38" s="8"/>
      <c r="AB38" s="8"/>
      <c r="AC38" s="8"/>
      <c r="AD38" s="8"/>
      <c r="AE38" s="8"/>
      <c r="AF38" s="8"/>
      <c r="AG38" s="8" t="s">
        <v>50</v>
      </c>
      <c r="AH38" s="8" t="s">
        <v>74</v>
      </c>
      <c r="AI38" s="8" t="s">
        <v>74</v>
      </c>
      <c r="AJ38" s="8"/>
      <c r="AK38" s="8"/>
      <c r="AL38" s="8" t="s">
        <v>51</v>
      </c>
      <c r="AM38" s="8">
        <v>5221</v>
      </c>
      <c r="AN38" s="8"/>
      <c r="AO38" s="12"/>
    </row>
    <row r="39" spans="2:41" x14ac:dyDescent="0.25">
      <c r="B39" s="8" t="s">
        <v>113</v>
      </c>
      <c r="C39" s="18"/>
      <c r="D39" s="9" t="s">
        <v>114</v>
      </c>
      <c r="E39" s="19"/>
      <c r="F39" s="19"/>
      <c r="G39" s="19"/>
      <c r="H39" s="8" t="s">
        <v>49</v>
      </c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8">
        <v>1</v>
      </c>
      <c r="X39" s="16"/>
      <c r="Y39" s="16">
        <f>W39</f>
        <v>1</v>
      </c>
      <c r="Z39" s="16"/>
      <c r="AA39" s="16"/>
      <c r="AB39" s="16"/>
      <c r="AC39" s="16"/>
      <c r="AD39" s="16"/>
      <c r="AE39" s="16"/>
      <c r="AF39" s="16"/>
      <c r="AG39" s="8" t="s">
        <v>50</v>
      </c>
      <c r="AH39" s="8" t="s">
        <v>115</v>
      </c>
      <c r="AI39" s="8" t="s">
        <v>115</v>
      </c>
      <c r="AJ39" s="8"/>
      <c r="AK39" s="8"/>
      <c r="AL39" s="8" t="s">
        <v>51</v>
      </c>
      <c r="AM39" s="8">
        <v>27553</v>
      </c>
      <c r="AN39" s="8"/>
      <c r="AO39" s="11"/>
    </row>
    <row r="40" spans="2:41" x14ac:dyDescent="0.25">
      <c r="B40" s="8" t="s">
        <v>57</v>
      </c>
      <c r="C40" s="8"/>
      <c r="D40" s="9" t="s">
        <v>58</v>
      </c>
      <c r="E40" s="8"/>
      <c r="F40" s="8"/>
      <c r="G40" s="8"/>
      <c r="H40" s="8" t="s">
        <v>53</v>
      </c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>
        <v>2</v>
      </c>
      <c r="X40" s="8"/>
      <c r="Y40" s="8">
        <v>4</v>
      </c>
      <c r="Z40" s="8"/>
      <c r="AA40" s="8"/>
      <c r="AB40" s="8"/>
      <c r="AC40" s="8"/>
      <c r="AD40" s="8"/>
      <c r="AE40" s="8"/>
      <c r="AF40" s="8"/>
      <c r="AG40" s="8" t="s">
        <v>50</v>
      </c>
      <c r="AH40" s="8" t="s">
        <v>59</v>
      </c>
      <c r="AI40" s="8" t="s">
        <v>60</v>
      </c>
      <c r="AJ40" s="8"/>
      <c r="AK40" s="8"/>
      <c r="AL40" s="8" t="s">
        <v>51</v>
      </c>
      <c r="AM40" s="8">
        <v>3145</v>
      </c>
      <c r="AN40" s="8"/>
      <c r="AO40" s="12"/>
    </row>
    <row r="41" spans="2:41" x14ac:dyDescent="0.25">
      <c r="D41" s="4"/>
      <c r="W41" s="2">
        <v>2</v>
      </c>
      <c r="AG41" s="2" t="s">
        <v>50</v>
      </c>
      <c r="AH41" s="2" t="s">
        <v>61</v>
      </c>
      <c r="AI41" s="2" t="s">
        <v>62</v>
      </c>
      <c r="AL41" s="2" t="s">
        <v>51</v>
      </c>
      <c r="AM41" s="2">
        <v>3125</v>
      </c>
    </row>
    <row r="42" spans="2:41" x14ac:dyDescent="0.25">
      <c r="B42" s="8" t="s">
        <v>70</v>
      </c>
      <c r="D42" s="9" t="s">
        <v>72</v>
      </c>
      <c r="E42" s="8"/>
      <c r="F42" s="8"/>
      <c r="G42" s="8"/>
      <c r="H42" s="8" t="s">
        <v>49</v>
      </c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>
        <v>3</v>
      </c>
      <c r="X42" s="8"/>
      <c r="Y42" s="8">
        <f>W42</f>
        <v>3</v>
      </c>
      <c r="Z42" s="8"/>
      <c r="AA42" s="8"/>
      <c r="AB42" s="8"/>
      <c r="AC42" s="8"/>
      <c r="AD42" s="8"/>
      <c r="AE42" s="8"/>
      <c r="AF42" s="8"/>
      <c r="AG42" s="8" t="s">
        <v>50</v>
      </c>
      <c r="AH42" s="8" t="s">
        <v>63</v>
      </c>
      <c r="AI42" s="8" t="s">
        <v>63</v>
      </c>
      <c r="AJ42" s="8"/>
      <c r="AK42" s="8"/>
      <c r="AL42" s="8" t="s">
        <v>51</v>
      </c>
      <c r="AM42" s="8">
        <v>4189</v>
      </c>
      <c r="AN42" s="8"/>
      <c r="AO42" s="12"/>
    </row>
    <row r="43" spans="2:41" x14ac:dyDescent="0.25">
      <c r="B43" s="8" t="s">
        <v>71</v>
      </c>
      <c r="D43" s="9" t="s">
        <v>73</v>
      </c>
      <c r="E43" s="8"/>
      <c r="F43" s="8"/>
      <c r="G43" s="8"/>
      <c r="H43" s="8" t="s">
        <v>49</v>
      </c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>
        <v>1</v>
      </c>
      <c r="X43" s="8"/>
      <c r="Y43" s="8">
        <f>SUM(W43:W44)</f>
        <v>3</v>
      </c>
      <c r="Z43" s="8"/>
      <c r="AA43" s="8"/>
      <c r="AB43" s="8"/>
      <c r="AC43" s="8"/>
      <c r="AD43" s="8"/>
      <c r="AE43" s="8"/>
      <c r="AF43" s="8"/>
      <c r="AG43" s="8" t="s">
        <v>50</v>
      </c>
      <c r="AH43" s="8" t="s">
        <v>108</v>
      </c>
      <c r="AI43" s="8" t="s">
        <v>108</v>
      </c>
      <c r="AJ43" s="8"/>
      <c r="AK43" s="8"/>
      <c r="AL43" s="8" t="s">
        <v>52</v>
      </c>
      <c r="AM43" s="8">
        <v>7551</v>
      </c>
      <c r="AN43" s="8"/>
      <c r="AO43" s="12"/>
    </row>
    <row r="44" spans="2:41" x14ac:dyDescent="0.25">
      <c r="D44" s="4"/>
      <c r="W44" s="2">
        <v>2</v>
      </c>
      <c r="AG44" s="2" t="s">
        <v>50</v>
      </c>
      <c r="AH44" s="2" t="s">
        <v>92</v>
      </c>
      <c r="AI44" s="2" t="s">
        <v>92</v>
      </c>
      <c r="AL44" s="2" t="s">
        <v>52</v>
      </c>
      <c r="AM44" s="2">
        <v>7375</v>
      </c>
    </row>
  </sheetData>
  <mergeCells count="28">
    <mergeCell ref="B2:B3"/>
    <mergeCell ref="D2:D3"/>
    <mergeCell ref="H2:H3"/>
    <mergeCell ref="U2:U3"/>
    <mergeCell ref="G2:G3"/>
    <mergeCell ref="F2:F3"/>
    <mergeCell ref="O2:O3"/>
    <mergeCell ref="P2:P3"/>
    <mergeCell ref="Q2:Q3"/>
    <mergeCell ref="R2:R3"/>
    <mergeCell ref="S2:S3"/>
    <mergeCell ref="T2:T3"/>
    <mergeCell ref="A1:AO1"/>
    <mergeCell ref="A2:A3"/>
    <mergeCell ref="L2:L3"/>
    <mergeCell ref="K2:K3"/>
    <mergeCell ref="C2:C3"/>
    <mergeCell ref="E2:E3"/>
    <mergeCell ref="I2:I3"/>
    <mergeCell ref="J2:J3"/>
    <mergeCell ref="AN2:AN3"/>
    <mergeCell ref="AO2:AO3"/>
    <mergeCell ref="AD2:AM2"/>
    <mergeCell ref="V2:X2"/>
    <mergeCell ref="AA2:AC2"/>
    <mergeCell ref="N2:N3"/>
    <mergeCell ref="M2:M3"/>
    <mergeCell ref="Y2:Z2"/>
  </mergeCells>
  <phoneticPr fontId="3" type="noConversion"/>
  <pageMargins left="0.5" right="0.5" top="0.75" bottom="0.75" header="0.3" footer="0.3"/>
  <pageSetup paperSize="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143206f-a859-4af7-99ad-262ed23c3b3a" xsi:nil="true"/>
    <lcf76f155ced4ddcb4097134ff3c332f xmlns="3e229276-0242-43fd-ae1c-9005d8cb82af">
      <Terms xmlns="http://schemas.microsoft.com/office/infopath/2007/PartnerControls"/>
    </lcf76f155ced4ddcb4097134ff3c332f>
    <Order0 xmlns="3e229276-0242-43fd-ae1c-9005d8cb82a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555DB38865B045BE19001546CCBA5A" ma:contentTypeVersion="16" ma:contentTypeDescription="Create a new document." ma:contentTypeScope="" ma:versionID="e74a6390c1cd1ef22762cc3ee5227532">
  <xsd:schema xmlns:xsd="http://www.w3.org/2001/XMLSchema" xmlns:xs="http://www.w3.org/2001/XMLSchema" xmlns:p="http://schemas.microsoft.com/office/2006/metadata/properties" xmlns:ns2="3e229276-0242-43fd-ae1c-9005d8cb82af" xmlns:ns3="b143206f-a859-4af7-99ad-262ed23c3b3a" targetNamespace="http://schemas.microsoft.com/office/2006/metadata/properties" ma:root="true" ma:fieldsID="34cb4a19423d779ccfda37bcd93c0a29" ns2:_="" ns3:_="">
    <xsd:import namespace="3e229276-0242-43fd-ae1c-9005d8cb82af"/>
    <xsd:import namespace="b143206f-a859-4af7-99ad-262ed23c3b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LengthInSeconds" minOccurs="0"/>
                <xsd:element ref="ns2:Order0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229276-0242-43fd-ae1c-9005d8cb82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0d9232b-3ef6-462c-bf90-a33a2db08da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Order0" ma:index="22" nillable="true" ma:displayName="Order" ma:format="Dropdown" ma:internalName="Order0" ma:percentage="FALSE">
      <xsd:simpleType>
        <xsd:restriction base="dms:Number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43206f-a859-4af7-99ad-262ed23c3b3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585e700d-f05b-48aa-9205-c46182e72220}" ma:internalName="TaxCatchAll" ma:showField="CatchAllData" ma:web="b143206f-a859-4af7-99ad-262ed23c3b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haredContentType xmlns="Microsoft.SharePoint.Taxonomy.ContentTypeSync" SourceId="90d9232b-3ef6-462c-bf90-a33a2db08da6" ContentTypeId="0x01" PreviousValue="false"/>
</file>

<file path=customXml/itemProps1.xml><?xml version="1.0" encoding="utf-8"?>
<ds:datastoreItem xmlns:ds="http://schemas.openxmlformats.org/officeDocument/2006/customXml" ds:itemID="{6C793BF7-1C83-43C9-B291-0CB2C374880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FBB89F2-0141-4AF6-82D0-7AA3AA8B61E3}">
  <ds:schemaRefs>
    <ds:schemaRef ds:uri="http://schemas.microsoft.com/office/2006/metadata/properties"/>
    <ds:schemaRef ds:uri="http://schemas.microsoft.com/office/infopath/2007/PartnerControls"/>
    <ds:schemaRef ds:uri="d60f96d0-6c09-4806-b141-00f274de1478"/>
    <ds:schemaRef ds:uri="c3906ed6-3203-4afe-9e96-c1d55762b86b"/>
  </ds:schemaRefs>
</ds:datastoreItem>
</file>

<file path=customXml/itemProps3.xml><?xml version="1.0" encoding="utf-8"?>
<ds:datastoreItem xmlns:ds="http://schemas.openxmlformats.org/officeDocument/2006/customXml" ds:itemID="{7D375E5E-8ECB-43F1-BA12-6E3DFD1CF61B}"/>
</file>

<file path=customXml/itemProps4.xml><?xml version="1.0" encoding="utf-8"?>
<ds:datastoreItem xmlns:ds="http://schemas.openxmlformats.org/officeDocument/2006/customXml" ds:itemID="{95803DC4-20A5-493A-9274-2C46235D1A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Daffin, Kandi</dc:creator>
  <cp:lastModifiedBy>Goal Associates 02</cp:lastModifiedBy>
  <dcterms:created xsi:type="dcterms:W3CDTF">2019-12-17T15:58:45Z</dcterms:created>
  <dcterms:modified xsi:type="dcterms:W3CDTF">2025-06-13T18:56:13Z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0x01010057555DB38865B045BE19001546CCBA5A</vt:lpwstr>
  </property>
  <property fmtid="{D5CDD505-2E9C-101B-9397-08002B2CF9AE}" pid="3" name="MediaServiceImageTags">
    <vt:lpwstr/>
  </property>
</Properties>
</file>