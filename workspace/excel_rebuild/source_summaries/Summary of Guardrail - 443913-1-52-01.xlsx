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6" documentId="13_ncr:1_{0FCE51EF-6524-4CED-A072-4B80BCB6D06E}" xr6:coauthVersionLast="47" xr6:coauthVersionMax="47" xr10:uidLastSave="{15E63E19-B912-4E51-AD76-91AFE4E96BB4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</calcChain>
</file>

<file path=xl/sharedStrings.xml><?xml version="1.0" encoding="utf-8"?>
<sst xmlns="http://schemas.openxmlformats.org/spreadsheetml/2006/main" count="196" uniqueCount="88">
  <si>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</si>
  <si>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</si>
  <si>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</si>
  <si>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</si>
  <si>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</si>
  <si>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</si>
  <si>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</si>
  <si>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</si>
  <si>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</si>
  <si>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</si>
  <si>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</si>
  <si>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</si>
  <si>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</si>
  <si>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</si>
  <si>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</si>
  <si>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</si>
  <si>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</si>
  <si>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</si>
  <si>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</si>
  <si>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</si>
  <si>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</si>
  <si>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</si>
  <si>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</si>
  <si>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</si>
  <si>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</si>
  <si>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</si>
  <si>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</si>
  <si>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</si>
  <si>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</si>
  <si>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</si>
  <si>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</si>
  <si>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</si>
  <si>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</si>
  <si>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</si>
  <si>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</si>
  <si>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</si>
  <si>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</si>
  <si>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</si>
  <si>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</si>
  <si>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</si>
  <si>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</si>
  <si>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0536  1  1</t>
  </si>
  <si>
    <t/>
  </si>
  <si>
    <t>Guardrail -Roadway, General Tl-3</t>
  </si>
  <si>
    <t>LF</t>
  </si>
  <si>
    <t>81.2</t>
  </si>
  <si>
    <t>81</t>
  </si>
  <si>
    <t>CL-SR886</t>
  </si>
  <si>
    <t>72+69.34</t>
  </si>
  <si>
    <t>73+49.37</t>
  </si>
  <si>
    <t>-46.0750248818114</t>
  </si>
  <si>
    <t>LT</t>
  </si>
  <si>
    <t>59247</t>
  </si>
  <si>
    <t>0536 85 24</t>
  </si>
  <si>
    <t>Guardrail End Treatment- Parallel Approach Terminal</t>
  </si>
  <si>
    <t>EA</t>
  </si>
  <si>
    <t>1</t>
  </si>
  <si>
    <t>73+28.92</t>
  </si>
  <si>
    <t>-54.4870656441878</t>
  </si>
  <si>
    <t>59750</t>
  </si>
  <si>
    <t>Summary of Guardrail - 443913-1-52-01</t>
  </si>
  <si>
    <t xml:space="preserve">0536  6   </t>
  </si>
  <si>
    <t>Pipe Rail For Guardrail</t>
  </si>
  <si>
    <t>80959</t>
  </si>
  <si>
    <t>0536  7  3</t>
  </si>
  <si>
    <t>72+77.61</t>
  </si>
  <si>
    <t>72+79.64</t>
  </si>
  <si>
    <t>-47.7726295015161</t>
  </si>
  <si>
    <t>81510</t>
  </si>
  <si>
    <t>73+34.75</t>
  </si>
  <si>
    <t>73+36.78</t>
  </si>
  <si>
    <t>-56.5246156605079</t>
  </si>
  <si>
    <t>81430</t>
  </si>
  <si>
    <t>73+40.41</t>
  </si>
  <si>
    <t>73+42.45</t>
  </si>
  <si>
    <t>-57.5062528028587</t>
  </si>
  <si>
    <t>81427</t>
  </si>
  <si>
    <t>73+46.45</t>
  </si>
  <si>
    <t>73+48.49</t>
  </si>
  <si>
    <t>-59.1173031400011</t>
  </si>
  <si>
    <t>81429</t>
  </si>
  <si>
    <t>SPECIAL GUARDRAIL POST- ENCASED POST FOR SHALLOW MOUNT</t>
  </si>
  <si>
    <t>0536  8112</t>
  </si>
  <si>
    <t>Guardrail Transition Connection To Rigid Barrier, Furnish And Install, New Bridge, Approach Tl-3</t>
  </si>
  <si>
    <t>72+60.32</t>
  </si>
  <si>
    <t>72+78.36</t>
  </si>
  <si>
    <t>-46.800248267565</t>
  </si>
  <si>
    <t>81660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</si>
</sst>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5"/>
  <sheetViews>
    <sheetView tabSelected="1" showRuler="0" topLeftCell="B1" zoomScale="106" zoomScaleNormal="106" zoomScaleSheetLayoutView="90" zoomScalePageLayoutView="80" workbookViewId="0">
      <selection activeCell="D18" sqref="D18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/>
      <c r="X2" s="14"/>
      <c r="Y2" s="14" t="s">
        <v>22</v>
      </c>
      <c r="Z2" s="14"/>
      <c r="AA2" s="14" t="s">
        <v>23</v>
      </c>
      <c r="AB2" s="14"/>
      <c r="AC2" s="14"/>
      <c r="AD2" s="14" t="s">
        <v>24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25</v>
      </c>
      <c r="AO2" s="15" t="s">
        <v>26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27</v>
      </c>
      <c r="W3" s="8" t="s">
        <v>28</v>
      </c>
      <c r="X3" s="8" t="s">
        <v>29</v>
      </c>
      <c r="Y3" s="8" t="s">
        <v>28</v>
      </c>
      <c r="Z3" s="8" t="s">
        <v>29</v>
      </c>
      <c r="AA3" s="8" t="s">
        <v>30</v>
      </c>
      <c r="AB3" s="8" t="s">
        <v>28</v>
      </c>
      <c r="AC3" s="8" t="s">
        <v>29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36</v>
      </c>
      <c r="AJ3" s="8" t="s">
        <v>37</v>
      </c>
      <c r="AK3" s="8" t="s">
        <v>38</v>
      </c>
      <c r="AL3" s="8" t="s">
        <v>39</v>
      </c>
      <c r="AM3" s="8" t="s">
        <v>40</v>
      </c>
      <c r="AN3" s="14"/>
      <c r="AO3" s="15"/>
    </row>
    <row r="4" spans="1:41" x14ac:dyDescent="0.25">
      <c r="B4" s="2" t="s">
        <v>41</v>
      </c>
      <c r="C4" s="2" t="s">
        <v>42</v>
      </c>
      <c r="D4" s="4" t="s">
        <v>43</v>
      </c>
      <c r="E4" s="4"/>
      <c r="F4" s="4"/>
      <c r="G4" s="4"/>
      <c r="H4" s="2" t="s">
        <v>44</v>
      </c>
      <c r="I4" s="2" t="s">
        <v>42</v>
      </c>
      <c r="J4" s="2" t="s">
        <v>42</v>
      </c>
      <c r="M4" s="2" t="s">
        <v>42</v>
      </c>
      <c r="N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W4" s="2" t="s">
        <v>45</v>
      </c>
      <c r="Y4" s="2" t="s">
        <v>46</v>
      </c>
      <c r="AA4" s="2" t="s">
        <v>42</v>
      </c>
      <c r="AB4" s="2" t="s">
        <v>42</v>
      </c>
      <c r="AD4" s="2" t="s">
        <v>42</v>
      </c>
      <c r="AG4" s="2" t="s">
        <v>47</v>
      </c>
      <c r="AH4" s="6" t="s">
        <v>48</v>
      </c>
      <c r="AI4" s="6" t="s">
        <v>49</v>
      </c>
      <c r="AJ4" s="2" t="s">
        <v>42</v>
      </c>
      <c r="AK4" s="2" t="s">
        <v>50</v>
      </c>
      <c r="AL4" s="2" t="s">
        <v>51</v>
      </c>
      <c r="AM4" s="2" t="s">
        <v>52</v>
      </c>
      <c r="AN4" s="4" t="s">
        <v>42</v>
      </c>
      <c r="AO4" s="5" t="s">
        <v>42</v>
      </c>
    </row>
    <row r="5" spans="1:41" x14ac:dyDescent="0.25">
      <c r="B5" s="2" t="s">
        <v>61</v>
      </c>
      <c r="C5" s="2" t="s">
        <v>42</v>
      </c>
      <c r="D5" s="4" t="s">
        <v>62</v>
      </c>
      <c r="E5" s="4"/>
      <c r="F5" s="4"/>
      <c r="G5" s="4"/>
      <c r="H5" s="2" t="s">
        <v>44</v>
      </c>
      <c r="I5" s="2" t="s">
        <v>42</v>
      </c>
      <c r="J5" s="2" t="s">
        <v>42</v>
      </c>
      <c r="M5" s="2" t="s">
        <v>42</v>
      </c>
      <c r="N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W5" s="2" t="s">
        <v>45</v>
      </c>
      <c r="Y5" s="2" t="s">
        <v>46</v>
      </c>
      <c r="AA5" s="2" t="s">
        <v>42</v>
      </c>
      <c r="AB5" s="2" t="s">
        <v>42</v>
      </c>
      <c r="AD5" s="2" t="s">
        <v>42</v>
      </c>
      <c r="AG5" s="2" t="s">
        <v>47</v>
      </c>
      <c r="AH5" s="6" t="s">
        <v>48</v>
      </c>
      <c r="AI5" s="6" t="s">
        <v>49</v>
      </c>
      <c r="AJ5" s="2" t="s">
        <v>42</v>
      </c>
      <c r="AK5" s="2" t="s">
        <v>50</v>
      </c>
      <c r="AL5" s="2" t="s">
        <v>51</v>
      </c>
      <c r="AM5" s="2" t="s">
        <v>63</v>
      </c>
      <c r="AN5" s="4" t="s">
        <v>42</v>
      </c>
      <c r="AO5" s="5" t="s">
        <v>42</v>
      </c>
    </row>
    <row r="6" spans="1:41" x14ac:dyDescent="0.25">
      <c r="B6" s="2" t="s">
        <v>64</v>
      </c>
      <c r="D6" s="4" t="s">
        <v>81</v>
      </c>
      <c r="E6" s="4"/>
      <c r="F6" s="4"/>
      <c r="G6" s="4"/>
      <c r="H6" s="2" t="s">
        <v>55</v>
      </c>
      <c r="W6" s="2">
        <v>1</v>
      </c>
      <c r="Y6" s="2">
        <f>SUM(W6:W9)</f>
        <v>4</v>
      </c>
      <c r="AB6" s="2" t="s">
        <v>42</v>
      </c>
      <c r="AD6" s="2" t="s">
        <v>42</v>
      </c>
      <c r="AG6" s="2" t="s">
        <v>47</v>
      </c>
      <c r="AH6" s="6" t="s">
        <v>65</v>
      </c>
      <c r="AI6" s="6" t="s">
        <v>66</v>
      </c>
      <c r="AJ6" s="2" t="s">
        <v>42</v>
      </c>
      <c r="AK6" s="2" t="s">
        <v>67</v>
      </c>
      <c r="AL6" s="2" t="s">
        <v>51</v>
      </c>
      <c r="AM6" s="2" t="s">
        <v>68</v>
      </c>
      <c r="AN6" s="4"/>
      <c r="AO6" s="5"/>
    </row>
    <row r="7" spans="1:41" x14ac:dyDescent="0.25">
      <c r="D7" s="4"/>
      <c r="E7" s="4"/>
      <c r="F7" s="4"/>
      <c r="G7" s="4"/>
      <c r="W7" s="2">
        <v>1</v>
      </c>
      <c r="AB7" s="2" t="s">
        <v>42</v>
      </c>
      <c r="AD7" s="2" t="s">
        <v>42</v>
      </c>
      <c r="AG7" s="2" t="s">
        <v>47</v>
      </c>
      <c r="AH7" s="6" t="s">
        <v>69</v>
      </c>
      <c r="AI7" s="6" t="s">
        <v>70</v>
      </c>
      <c r="AJ7" s="2" t="s">
        <v>42</v>
      </c>
      <c r="AK7" s="2" t="s">
        <v>71</v>
      </c>
      <c r="AL7" s="2" t="s">
        <v>51</v>
      </c>
      <c r="AM7" s="2" t="s">
        <v>72</v>
      </c>
      <c r="AN7" s="4"/>
      <c r="AO7" s="5"/>
    </row>
    <row r="8" spans="1:41" x14ac:dyDescent="0.25">
      <c r="D8" s="4"/>
      <c r="E8" s="4"/>
      <c r="F8" s="4"/>
      <c r="G8" s="4"/>
      <c r="W8" s="2">
        <v>1</v>
      </c>
      <c r="AB8" s="2" t="s">
        <v>42</v>
      </c>
      <c r="AD8" s="2" t="s">
        <v>42</v>
      </c>
      <c r="AG8" s="2" t="s">
        <v>47</v>
      </c>
      <c r="AH8" s="6" t="s">
        <v>73</v>
      </c>
      <c r="AI8" s="6" t="s">
        <v>74</v>
      </c>
      <c r="AJ8" s="2" t="s">
        <v>42</v>
      </c>
      <c r="AK8" s="2" t="s">
        <v>75</v>
      </c>
      <c r="AL8" s="2" t="s">
        <v>51</v>
      </c>
      <c r="AM8" s="2" t="s">
        <v>76</v>
      </c>
      <c r="AN8" s="4"/>
      <c r="AO8" s="5"/>
    </row>
    <row r="9" spans="1:41" x14ac:dyDescent="0.25">
      <c r="D9" s="4"/>
      <c r="E9" s="4"/>
      <c r="F9" s="4"/>
      <c r="G9" s="4"/>
      <c r="W9" s="2">
        <v>1</v>
      </c>
      <c r="AB9" s="2" t="s">
        <v>42</v>
      </c>
      <c r="AD9" s="2" t="s">
        <v>42</v>
      </c>
      <c r="AG9" s="2" t="s">
        <v>47</v>
      </c>
      <c r="AH9" s="6" t="s">
        <v>77</v>
      </c>
      <c r="AI9" s="6" t="s">
        <v>78</v>
      </c>
      <c r="AJ9" s="2" t="s">
        <v>42</v>
      </c>
      <c r="AK9" s="2" t="s">
        <v>79</v>
      </c>
      <c r="AL9" s="2" t="s">
        <v>51</v>
      </c>
      <c r="AM9" s="2" t="s">
        <v>80</v>
      </c>
      <c r="AN9" s="4"/>
      <c r="AO9" s="5"/>
    </row>
    <row r="10" spans="1:41" x14ac:dyDescent="0.25">
      <c r="B10" s="2" t="s">
        <v>82</v>
      </c>
      <c r="C10" s="2" t="s">
        <v>42</v>
      </c>
      <c r="D10" s="4" t="s">
        <v>83</v>
      </c>
      <c r="E10" s="4"/>
      <c r="F10" s="4"/>
      <c r="G10" s="4"/>
      <c r="H10" s="2" t="s">
        <v>55</v>
      </c>
      <c r="I10" s="2" t="s">
        <v>42</v>
      </c>
      <c r="J10" s="2" t="s">
        <v>42</v>
      </c>
      <c r="M10" s="2" t="s">
        <v>42</v>
      </c>
      <c r="N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42</v>
      </c>
      <c r="U10" s="2" t="s">
        <v>42</v>
      </c>
      <c r="W10" s="2" t="s">
        <v>56</v>
      </c>
      <c r="Y10" s="2" t="s">
        <v>56</v>
      </c>
      <c r="AA10" s="2" t="s">
        <v>42</v>
      </c>
      <c r="AB10" s="2" t="s">
        <v>42</v>
      </c>
      <c r="AD10" s="2" t="s">
        <v>42</v>
      </c>
      <c r="AG10" s="2" t="s">
        <v>47</v>
      </c>
      <c r="AH10" s="6" t="s">
        <v>84</v>
      </c>
      <c r="AI10" s="6" t="s">
        <v>85</v>
      </c>
      <c r="AJ10" s="2" t="s">
        <v>42</v>
      </c>
      <c r="AK10" s="2" t="s">
        <v>86</v>
      </c>
      <c r="AL10" s="2" t="s">
        <v>51</v>
      </c>
      <c r="AM10" s="2" t="s">
        <v>87</v>
      </c>
      <c r="AN10" s="4" t="s">
        <v>42</v>
      </c>
      <c r="AO10" s="5"/>
    </row>
    <row r="11" spans="1:41" x14ac:dyDescent="0.25">
      <c r="B11" s="2" t="s">
        <v>53</v>
      </c>
      <c r="C11" s="2" t="s">
        <v>42</v>
      </c>
      <c r="D11" s="4" t="s">
        <v>54</v>
      </c>
      <c r="E11" s="4"/>
      <c r="F11" s="4"/>
      <c r="G11" s="4"/>
      <c r="H11" s="2" t="s">
        <v>55</v>
      </c>
      <c r="I11" s="2" t="s">
        <v>42</v>
      </c>
      <c r="J11" s="2" t="s">
        <v>42</v>
      </c>
      <c r="M11" s="2" t="s">
        <v>42</v>
      </c>
      <c r="N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W11" s="2" t="s">
        <v>56</v>
      </c>
      <c r="Y11" s="2" t="s">
        <v>56</v>
      </c>
      <c r="AA11" s="2" t="s">
        <v>42</v>
      </c>
      <c r="AB11" s="2" t="s">
        <v>42</v>
      </c>
      <c r="AD11" s="2" t="s">
        <v>42</v>
      </c>
      <c r="AG11" s="2" t="s">
        <v>47</v>
      </c>
      <c r="AH11" s="6" t="s">
        <v>57</v>
      </c>
      <c r="AI11" s="6" t="s">
        <v>57</v>
      </c>
      <c r="AJ11" s="2" t="s">
        <v>42</v>
      </c>
      <c r="AK11" s="2" t="s">
        <v>58</v>
      </c>
      <c r="AL11" s="2" t="s">
        <v>51</v>
      </c>
      <c r="AM11" s="2" t="s">
        <v>59</v>
      </c>
      <c r="AN11" s="4" t="s">
        <v>42</v>
      </c>
      <c r="AO11" s="5" t="s">
        <v>42</v>
      </c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  <row r="61" spans="4:41" x14ac:dyDescent="0.25">
      <c r="D61" s="4"/>
      <c r="E61" s="4"/>
      <c r="F61" s="4"/>
      <c r="G61" s="4"/>
      <c r="AH61" s="6"/>
      <c r="AI61" s="6"/>
      <c r="AN61" s="4"/>
      <c r="AO61" s="5"/>
    </row>
    <row r="62" spans="4:41" x14ac:dyDescent="0.25">
      <c r="D62" s="4"/>
      <c r="E62" s="4"/>
      <c r="F62" s="4"/>
      <c r="G62" s="4"/>
      <c r="AH62" s="6"/>
      <c r="AI62" s="6"/>
      <c r="AN62" s="4"/>
      <c r="AO62" s="5"/>
    </row>
    <row r="63" spans="4:41" x14ac:dyDescent="0.25">
      <c r="D63" s="4"/>
      <c r="E63" s="4"/>
      <c r="F63" s="4"/>
      <c r="G63" s="4"/>
      <c r="AH63" s="6"/>
      <c r="AI63" s="6"/>
      <c r="AN63" s="4"/>
      <c r="AO63" s="5"/>
    </row>
    <row r="64" spans="4:41" x14ac:dyDescent="0.25">
      <c r="D64" s="4"/>
      <c r="E64" s="4"/>
      <c r="F64" s="4"/>
      <c r="G64" s="4"/>
      <c r="AH64" s="6"/>
      <c r="AI64" s="6"/>
      <c r="AN64" s="4"/>
      <c r="AO64" s="5"/>
    </row>
    <row r="65" spans="4:41" x14ac:dyDescent="0.25">
      <c r="D65" s="4"/>
      <c r="E65" s="4"/>
      <c r="F65" s="4"/>
      <c r="G65" s="4"/>
      <c r="AH65" s="6"/>
      <c r="AI65" s="6"/>
      <c r="AN65" s="4"/>
      <c r="AO65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honeticPr fontId="3" type="noConversion"/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BE9BD777-51BA-4952-B267-DA6EABECB4BF}"/>
</file>

<file path=customXml/itemProps2.xml><?xml version="1.0" encoding="utf-8"?>
<ds:datastoreItem xmlns:ds="http://schemas.openxmlformats.org/officeDocument/2006/customXml" ds:itemID="{C30A5BC7-3530-435C-9F32-978183C134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491D4-A630-47F7-8B0F-5C94CEF000E6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4.xml><?xml version="1.0" encoding="utf-8"?>
<ds:datastoreItem xmlns:ds="http://schemas.openxmlformats.org/officeDocument/2006/customXml" ds:itemID="{44AB6256-08F3-4987-A690-A33AEF13A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2025-04-29T16:06:08Z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